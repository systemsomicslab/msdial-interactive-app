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1_{CBDA7E8A-6776-4C35-9FFD-B995378BF13F}" xr6:coauthVersionLast="47" xr6:coauthVersionMax="47" xr10:uidLastSave="{00000000-0000-0000-0000-000000000000}"/>
  <bookViews>
    <workbookView xWindow="38290" yWindow="-110" windowWidth="38620" windowHeight="21100" activeTab="2" xr2:uid="{7C68E27E-046C-4E09-B95F-B1BE54B1073C}"/>
  </bookViews>
  <sheets>
    <sheet name="1. IS preparation" sheetId="2" r:id="rId1"/>
    <sheet name="2. Lookup table" sheetId="3" r:id="rId2"/>
    <sheet name="3. Quant inf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E6" i="2"/>
  <c r="B1" i="3" l="1"/>
  <c r="E20" i="2"/>
  <c r="G20" i="2" s="1"/>
  <c r="E19" i="2"/>
  <c r="G19" i="2" s="1"/>
  <c r="E18" i="2"/>
  <c r="G18" i="2" s="1"/>
  <c r="E17" i="2"/>
  <c r="G17" i="2" s="1"/>
  <c r="E16" i="2"/>
  <c r="G16" i="2" s="1"/>
  <c r="E15" i="2"/>
  <c r="G15" i="2" s="1"/>
  <c r="E14" i="2"/>
  <c r="G14" i="2" s="1"/>
  <c r="E13" i="2"/>
  <c r="G13" i="2" s="1"/>
  <c r="E12" i="2"/>
  <c r="G12" i="2" s="1"/>
  <c r="E11" i="2"/>
  <c r="G11" i="2" s="1"/>
  <c r="E10" i="2"/>
  <c r="G10" i="2" s="1"/>
  <c r="E9" i="2"/>
  <c r="G9" i="2" s="1"/>
  <c r="E8" i="2"/>
  <c r="G8" i="2" s="1"/>
  <c r="E7" i="2"/>
  <c r="G7" i="2" s="1"/>
  <c r="G6" i="2"/>
  <c r="H6" i="2" l="1"/>
  <c r="H19" i="2"/>
  <c r="F6" i="2"/>
  <c r="H20" i="2"/>
  <c r="H18" i="2"/>
  <c r="H17" i="2"/>
  <c r="H16" i="2"/>
  <c r="H15" i="2"/>
  <c r="H14" i="2"/>
  <c r="H13" i="2"/>
  <c r="H12" i="2"/>
  <c r="H11" i="2"/>
  <c r="H10" i="2"/>
  <c r="H9" i="2"/>
  <c r="H8" i="2"/>
  <c r="H7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</calcChain>
</file>

<file path=xl/sharedStrings.xml><?xml version="1.0" encoding="utf-8"?>
<sst xmlns="http://schemas.openxmlformats.org/spreadsheetml/2006/main" count="1471" uniqueCount="245">
  <si>
    <t>PC 15:0_18:1(d7)</t>
  </si>
  <si>
    <t>PE 15:0_18:1(d7)</t>
  </si>
  <si>
    <t>PS 15:0_18:1(d7)</t>
  </si>
  <si>
    <t>PG 15:0_18:1(d7)</t>
  </si>
  <si>
    <t>PI 15:0_18:1(d7)</t>
  </si>
  <si>
    <t>LPC 18:1(d7)</t>
  </si>
  <si>
    <t>LPE 18:1(d7)</t>
  </si>
  <si>
    <t>CE 18:1(d7)</t>
  </si>
  <si>
    <t>MG 18:1(d7)</t>
  </si>
  <si>
    <t>DG 15:0_18:1(d7)</t>
  </si>
  <si>
    <t>TG 15:0_18:1(d7)_15:0</t>
  </si>
  <si>
    <t>FA 18:0(d3)</t>
  </si>
  <si>
    <t>Name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</si>
  <si>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rial"/>
        <family val="2"/>
      </rPr>
      <t>M in LC-MS vial</t>
    </r>
  </si>
  <si>
    <t>pmol</t>
    <phoneticPr fontId="0"/>
  </si>
  <si>
    <t>int (pmol/mg tissue)</t>
    <phoneticPr fontId="0"/>
  </si>
  <si>
    <t>int (pmol/10^6 cells)</t>
  </si>
  <si>
    <t>PC</t>
    <phoneticPr fontId="0"/>
  </si>
  <si>
    <t>PE</t>
    <phoneticPr fontId="0"/>
  </si>
  <si>
    <t>PS</t>
    <phoneticPr fontId="0"/>
  </si>
  <si>
    <t>PG</t>
    <phoneticPr fontId="0"/>
  </si>
  <si>
    <t>PI</t>
    <phoneticPr fontId="0"/>
  </si>
  <si>
    <t>LPC</t>
    <phoneticPr fontId="0"/>
  </si>
  <si>
    <t>LPE</t>
    <phoneticPr fontId="0"/>
  </si>
  <si>
    <t>CE</t>
    <phoneticPr fontId="0"/>
  </si>
  <si>
    <t>Cer-NS</t>
    <phoneticPr fontId="0"/>
  </si>
  <si>
    <t>FA 16:0(d3)</t>
  </si>
  <si>
    <t>FA</t>
    <phoneticPr fontId="0"/>
  </si>
  <si>
    <t>int (pmol/ul plasma)</t>
  </si>
  <si>
    <t>intensity</t>
  </si>
  <si>
    <t>PC 16:0_18:1</t>
  </si>
  <si>
    <t>Lipid extraction</t>
  </si>
  <si>
    <t>&gt; dry up</t>
  </si>
  <si>
    <t>&gt; MeOH (100uL) with IS (1uL)</t>
  </si>
  <si>
    <t>&gt; MeOH+CHCl3 (320 uL) with IS (5 uL)</t>
  </si>
  <si>
    <t>plasma 20 uL</t>
  </si>
  <si>
    <t>pmol/uL plasma</t>
  </si>
  <si>
    <t>MG</t>
  </si>
  <si>
    <t>DG</t>
  </si>
  <si>
    <t>SM</t>
  </si>
  <si>
    <t>TG</t>
  </si>
  <si>
    <t>SM 18:1;O2/18:1(d9)</t>
  </si>
  <si>
    <t>Cer 18:1;O2/15:0(d7)</t>
  </si>
  <si>
    <t>Class name</t>
  </si>
  <si>
    <t>Put liquid volume in LC-MS vial</t>
  </si>
  <si>
    <t>Put mg tissue weight in solvent</t>
  </si>
  <si>
    <t>Put cell number in solvent when 10^6 cells cosidered</t>
  </si>
  <si>
    <t>Put uL in solvent</t>
  </si>
  <si>
    <t>PC</t>
  </si>
  <si>
    <t>PE</t>
  </si>
  <si>
    <t>EtherPC</t>
  </si>
  <si>
    <t>EtherPE</t>
  </si>
  <si>
    <t>PS</t>
  </si>
  <si>
    <t>PT</t>
  </si>
  <si>
    <t>PG</t>
  </si>
  <si>
    <t>PI</t>
  </si>
  <si>
    <t>LPC</t>
  </si>
  <si>
    <t>EtherLPC</t>
  </si>
  <si>
    <t>LPE</t>
  </si>
  <si>
    <t>EtherLPE</t>
  </si>
  <si>
    <t>CE</t>
  </si>
  <si>
    <t>Cer-NS</t>
  </si>
  <si>
    <t>FA</t>
  </si>
  <si>
    <t>OxFA</t>
  </si>
  <si>
    <t>FAHFA</t>
  </si>
  <si>
    <t>Any others</t>
  </si>
  <si>
    <t>CAR</t>
  </si>
  <si>
    <t>ADGGA</t>
  </si>
  <si>
    <t>BASulfate</t>
  </si>
  <si>
    <t>BileAcid</t>
  </si>
  <si>
    <t>ST</t>
  </si>
  <si>
    <t>CerP</t>
  </si>
  <si>
    <t>CoQ</t>
  </si>
  <si>
    <t>DGCC</t>
  </si>
  <si>
    <t>DGDG</t>
  </si>
  <si>
    <t>DGGA</t>
  </si>
  <si>
    <t>DGTS</t>
  </si>
  <si>
    <t>DGTA</t>
  </si>
  <si>
    <t>EtherMGDG</t>
  </si>
  <si>
    <t>EtherDGDG</t>
  </si>
  <si>
    <t>GM3</t>
  </si>
  <si>
    <t>GM1</t>
  </si>
  <si>
    <t>GD1a</t>
  </si>
  <si>
    <t>GD1b</t>
  </si>
  <si>
    <t>GD2</t>
  </si>
  <si>
    <t>GD3</t>
  </si>
  <si>
    <t>GQ1b</t>
  </si>
  <si>
    <t>GT1b</t>
  </si>
  <si>
    <t>NGcGM3</t>
  </si>
  <si>
    <t>LDGCC</t>
  </si>
  <si>
    <t>LDGTS</t>
  </si>
  <si>
    <t>LDGTA</t>
  </si>
  <si>
    <t>LPA</t>
  </si>
  <si>
    <t>MGDG</t>
  </si>
  <si>
    <t>MGMG</t>
  </si>
  <si>
    <t>DGMG</t>
  </si>
  <si>
    <t>NAGly</t>
  </si>
  <si>
    <t>NAGlySer</t>
  </si>
  <si>
    <t>NAOrn</t>
  </si>
  <si>
    <t>NAPhe</t>
  </si>
  <si>
    <t>NATau</t>
  </si>
  <si>
    <t>NAE</t>
  </si>
  <si>
    <t>GPNAE</t>
  </si>
  <si>
    <t>PA</t>
  </si>
  <si>
    <t>PEtOH</t>
  </si>
  <si>
    <t>PMeOH</t>
  </si>
  <si>
    <t>SHex</t>
  </si>
  <si>
    <t>BAHex</t>
  </si>
  <si>
    <t>SPEHex</t>
  </si>
  <si>
    <t>SPGHex</t>
  </si>
  <si>
    <t>CSLPHex</t>
  </si>
  <si>
    <t>BRSLPHex</t>
  </si>
  <si>
    <t>CASLPHex</t>
  </si>
  <si>
    <t>SISLPHex</t>
  </si>
  <si>
    <t>STSLPHex</t>
  </si>
  <si>
    <t>CSPHex</t>
  </si>
  <si>
    <t>BRSPHex</t>
  </si>
  <si>
    <t>CASPHex</t>
  </si>
  <si>
    <t>SISPHex</t>
  </si>
  <si>
    <t>STSPHex</t>
  </si>
  <si>
    <t>SPE</t>
  </si>
  <si>
    <t>SQDG</t>
  </si>
  <si>
    <t>SSulfate</t>
  </si>
  <si>
    <t>VAE</t>
  </si>
  <si>
    <t>Vitamin_D</t>
  </si>
  <si>
    <t>Vitamin_E</t>
  </si>
  <si>
    <t>OxPC</t>
  </si>
  <si>
    <t>EtherOxPC</t>
  </si>
  <si>
    <t>OxPE</t>
  </si>
  <si>
    <t>LNAPE</t>
  </si>
  <si>
    <t>EtherOxPE</t>
  </si>
  <si>
    <t>BMP</t>
  </si>
  <si>
    <t>CL</t>
  </si>
  <si>
    <t>EtherLPG</t>
  </si>
  <si>
    <t>EtherPG</t>
  </si>
  <si>
    <t>HBMP</t>
  </si>
  <si>
    <t>MLCL</t>
  </si>
  <si>
    <t>LPG</t>
  </si>
  <si>
    <t>OxPG</t>
  </si>
  <si>
    <t>EtherPI</t>
  </si>
  <si>
    <t>LPI</t>
  </si>
  <si>
    <t>OxPI</t>
  </si>
  <si>
    <t>EtherPS</t>
  </si>
  <si>
    <t>LNAPS</t>
  </si>
  <si>
    <t>LPS</t>
  </si>
  <si>
    <t>OxPS</t>
  </si>
  <si>
    <t>ASM</t>
  </si>
  <si>
    <t>EtherTG</t>
  </si>
  <si>
    <t>AHexCAS</t>
  </si>
  <si>
    <t>AHexCS</t>
  </si>
  <si>
    <t>AHexSIS</t>
  </si>
  <si>
    <t>AHexSTS</t>
  </si>
  <si>
    <t>AHexBRS</t>
  </si>
  <si>
    <t>BRSE</t>
  </si>
  <si>
    <t>CASE</t>
  </si>
  <si>
    <t>DCAE</t>
  </si>
  <si>
    <t>GDCAE</t>
  </si>
  <si>
    <t>GLCAE</t>
  </si>
  <si>
    <t>TDCAE</t>
  </si>
  <si>
    <t>TLCAE</t>
  </si>
  <si>
    <t>SISE</t>
  </si>
  <si>
    <t>STSE</t>
  </si>
  <si>
    <t>LCAE</t>
  </si>
  <si>
    <t>KLCAE</t>
  </si>
  <si>
    <t>KDCAE</t>
  </si>
  <si>
    <t>EGSE</t>
  </si>
  <si>
    <t>DEGSE</t>
  </si>
  <si>
    <t>DSMSE</t>
  </si>
  <si>
    <t>MMPE</t>
  </si>
  <si>
    <t>DMPE</t>
  </si>
  <si>
    <t>MIPC</t>
  </si>
  <si>
    <t>OxTG</t>
  </si>
  <si>
    <t>TG_EST</t>
  </si>
  <si>
    <t>AHexCer</t>
  </si>
  <si>
    <t>Cer-ADS</t>
  </si>
  <si>
    <t>Cer-AP</t>
  </si>
  <si>
    <t>Cer-AS</t>
  </si>
  <si>
    <t>Cer-BDS</t>
  </si>
  <si>
    <t>Cer-BS</t>
  </si>
  <si>
    <t>Cer-EBDS</t>
  </si>
  <si>
    <t>Cer-EOS</t>
  </si>
  <si>
    <t>Cer-EODS</t>
  </si>
  <si>
    <t>Cer-HDS</t>
  </si>
  <si>
    <t>Cer-HS</t>
  </si>
  <si>
    <t>Cer-NDS</t>
  </si>
  <si>
    <t>Cer-NP</t>
  </si>
  <si>
    <t>EtherSMGDG</t>
  </si>
  <si>
    <t>SMGDG</t>
  </si>
  <si>
    <t>HexCer-AP</t>
  </si>
  <si>
    <t>HexCer-EOS</t>
  </si>
  <si>
    <t>HexCer-HDS</t>
  </si>
  <si>
    <t>HexCer-HS</t>
  </si>
  <si>
    <t>HexCer-NDS</t>
  </si>
  <si>
    <t>HexCer-NS</t>
  </si>
  <si>
    <t>Hex2Cer</t>
  </si>
  <si>
    <t>Hex3Cer</t>
  </si>
  <si>
    <t>PE-Cer</t>
  </si>
  <si>
    <t>PhytoSph</t>
  </si>
  <si>
    <t>PI-Cer</t>
  </si>
  <si>
    <t>SHexCer</t>
  </si>
  <si>
    <t>SL</t>
  </si>
  <si>
    <t>DHSph</t>
  </si>
  <si>
    <t>Sph</t>
  </si>
  <si>
    <t>EtherDG</t>
  </si>
  <si>
    <t>Class</t>
  </si>
  <si>
    <t>Adduct</t>
  </si>
  <si>
    <t>Ion mode</t>
  </si>
  <si>
    <t>IsSelected</t>
  </si>
  <si>
    <t>[M-H]-</t>
  </si>
  <si>
    <t>Negative</t>
  </si>
  <si>
    <t>[M+NH4]+</t>
  </si>
  <si>
    <t>Positive</t>
  </si>
  <si>
    <t>[M+CH3COO]-</t>
  </si>
  <si>
    <t>[M+HCOO]-</t>
  </si>
  <si>
    <t>[M+H]+</t>
  </si>
  <si>
    <t>[M+H-H2O]+</t>
  </si>
  <si>
    <t>ASHexCer</t>
  </si>
  <si>
    <t>Cer_ADS</t>
  </si>
  <si>
    <t>Cer_AP</t>
  </si>
  <si>
    <t>Cer_AS</t>
  </si>
  <si>
    <t>Cer_BDS</t>
  </si>
  <si>
    <t>Cer_BS</t>
  </si>
  <si>
    <t>Cer_EBDS</t>
  </si>
  <si>
    <t>Cer_EODS</t>
  </si>
  <si>
    <t>Cer_EOS</t>
  </si>
  <si>
    <t>Cer_HDS</t>
  </si>
  <si>
    <t>Cer_HS</t>
  </si>
  <si>
    <t>Cer_NDS</t>
  </si>
  <si>
    <t>[M+Na]+</t>
  </si>
  <si>
    <t>Cer_NP</t>
  </si>
  <si>
    <t>Cer_NS</t>
  </si>
  <si>
    <t>[M-2H]2-</t>
  </si>
  <si>
    <t>DLCL</t>
  </si>
  <si>
    <t>[M+2H]2+</t>
  </si>
  <si>
    <t>[M+2NH4]2+</t>
  </si>
  <si>
    <t>HexCer_AP</t>
  </si>
  <si>
    <t>HexCer_EOS</t>
  </si>
  <si>
    <t>HexCer_HDS</t>
  </si>
  <si>
    <t>HexCer_HS</t>
  </si>
  <si>
    <t>HexCer_NDS</t>
  </si>
  <si>
    <t>HexCer_NS</t>
  </si>
  <si>
    <t>LipidA</t>
  </si>
  <si>
    <t>PE_Cer</t>
  </si>
  <si>
    <t>PI_Cer</t>
  </si>
  <si>
    <t>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</si>
</sst>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1"/>
      <charset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2" fontId="1" fillId="0" borderId="1" xfId="0" applyNumberFormat="1" applyFont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0" fontId="1" fillId="0" borderId="3" xfId="0" applyFont="1" applyBorder="1"/>
    <xf numFmtId="0" fontId="2" fillId="0" borderId="3" xfId="0" applyFont="1" applyBorder="1" applyAlignment="1">
      <alignment horizontal="left"/>
    </xf>
    <xf numFmtId="0" fontId="0" fillId="0" borderId="3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2" xfId="0" applyFont="1" applyBorder="1"/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06B4-5F12-4494-A905-6463F85973DE}">
  <dimension ref="B3:H30"/>
  <sheetViews>
    <sheetView topLeftCell="A3" zoomScale="160" zoomScaleNormal="160" workbookViewId="0">
      <selection activeCell="C16" sqref="C16"/>
    </sheetView>
  </sheetViews>
  <sheetFormatPr defaultRowHeight="14.5"/>
  <cols>
    <col min="2" max="2" width="36.54296875" bestFit="1" customWidth="1"/>
    <col min="3" max="4" width="16.54296875" bestFit="1" customWidth="1"/>
    <col min="5" max="5" width="11.81640625" customWidth="1"/>
    <col min="6" max="6" width="19" customWidth="1"/>
    <col min="7" max="7" width="21.08984375" customWidth="1"/>
  </cols>
  <sheetData>
    <row r="3" spans="2:8" ht="43.5">
      <c r="E3" s="18" t="s">
        <v>44</v>
      </c>
      <c r="F3" s="18" t="s">
        <v>45</v>
      </c>
      <c r="G3" s="18" t="s">
        <v>46</v>
      </c>
      <c r="H3" s="18" t="s">
        <v>47</v>
      </c>
    </row>
    <row r="4" spans="2:8" ht="15" thickBot="1">
      <c r="E4">
        <v>320</v>
      </c>
      <c r="F4">
        <v>10</v>
      </c>
      <c r="G4">
        <v>0.25</v>
      </c>
      <c r="H4">
        <v>10</v>
      </c>
    </row>
    <row r="5" spans="2:8" ht="15" thickBot="1">
      <c r="B5" s="6" t="s">
        <v>12</v>
      </c>
      <c r="C5" s="7" t="s">
        <v>13</v>
      </c>
      <c r="D5" s="7" t="s">
        <v>43</v>
      </c>
      <c r="E5" s="8" t="s">
        <v>14</v>
      </c>
      <c r="F5" s="8" t="s">
        <v>15</v>
      </c>
      <c r="G5" s="8" t="s">
        <v>16</v>
      </c>
      <c r="H5" s="8" t="s">
        <v>28</v>
      </c>
    </row>
    <row r="6" spans="2:8">
      <c r="B6" s="9" t="s">
        <v>0</v>
      </c>
      <c r="C6" s="3">
        <v>2.074740625</v>
      </c>
      <c r="D6" s="10" t="s">
        <v>17</v>
      </c>
      <c r="E6" s="11">
        <f>C6*$E$4</f>
        <v>663.91700000000003</v>
      </c>
      <c r="F6" s="11">
        <f>E6/$F$4</f>
        <v>66.3917</v>
      </c>
      <c r="G6" s="12">
        <f>E6*$G$4</f>
        <v>165.97925000000001</v>
      </c>
      <c r="H6" s="12">
        <f>E6/$H$4</f>
        <v>66.3917</v>
      </c>
    </row>
    <row r="7" spans="2:8">
      <c r="B7" s="13" t="s">
        <v>1</v>
      </c>
      <c r="C7" s="5">
        <v>2.1975312499999999</v>
      </c>
      <c r="D7" s="2" t="s">
        <v>18</v>
      </c>
      <c r="E7" s="1">
        <f t="shared" ref="E7:E20" si="0">C7*$E$4</f>
        <v>703.21</v>
      </c>
      <c r="F7" s="1">
        <f t="shared" ref="F7:F20" si="1">E7/$F$4</f>
        <v>70.320999999999998</v>
      </c>
      <c r="G7">
        <f t="shared" ref="G7:G20" si="2">E7*$G$4</f>
        <v>175.80250000000001</v>
      </c>
      <c r="H7">
        <f t="shared" ref="H7:H20" si="3">E7/$H$4</f>
        <v>70.320999999999998</v>
      </c>
    </row>
    <row r="8" spans="2:8">
      <c r="B8" s="13" t="s">
        <v>2</v>
      </c>
      <c r="C8" s="5">
        <v>2.0108877506370493</v>
      </c>
      <c r="D8" s="2" t="s">
        <v>19</v>
      </c>
      <c r="E8" s="1">
        <f t="shared" si="0"/>
        <v>643.4840802038558</v>
      </c>
      <c r="F8" s="1">
        <f t="shared" si="1"/>
        <v>64.348408020385577</v>
      </c>
      <c r="G8">
        <f t="shared" si="2"/>
        <v>160.87102005096395</v>
      </c>
      <c r="H8">
        <f t="shared" si="3"/>
        <v>64.348408020385577</v>
      </c>
    </row>
    <row r="9" spans="2:8">
      <c r="B9" s="13" t="s">
        <v>3</v>
      </c>
      <c r="C9" s="5">
        <v>2.0451035313211698</v>
      </c>
      <c r="D9" s="2" t="s">
        <v>20</v>
      </c>
      <c r="E9" s="1">
        <f t="shared" si="0"/>
        <v>654.43313002277432</v>
      </c>
      <c r="F9" s="1">
        <f t="shared" si="1"/>
        <v>65.443313002277435</v>
      </c>
      <c r="G9">
        <f t="shared" si="2"/>
        <v>163.60828250569358</v>
      </c>
      <c r="H9">
        <f t="shared" si="3"/>
        <v>65.443313002277435</v>
      </c>
    </row>
    <row r="10" spans="2:8">
      <c r="B10" s="13" t="s">
        <v>4</v>
      </c>
      <c r="C10" s="5">
        <v>1.8444630694226387</v>
      </c>
      <c r="D10" s="2" t="s">
        <v>21</v>
      </c>
      <c r="E10" s="1">
        <f t="shared" si="0"/>
        <v>590.22818221524437</v>
      </c>
      <c r="F10" s="1">
        <f t="shared" si="1"/>
        <v>59.022818221524439</v>
      </c>
      <c r="G10">
        <f t="shared" si="2"/>
        <v>147.55704555381109</v>
      </c>
      <c r="H10">
        <f t="shared" si="3"/>
        <v>59.022818221524439</v>
      </c>
    </row>
    <row r="11" spans="2:8">
      <c r="B11" s="13" t="s">
        <v>5</v>
      </c>
      <c r="C11" s="5">
        <v>2.9552609374999999</v>
      </c>
      <c r="D11" s="2" t="s">
        <v>22</v>
      </c>
      <c r="E11" s="1">
        <f t="shared" si="0"/>
        <v>945.68349999999998</v>
      </c>
      <c r="F11" s="1">
        <f t="shared" si="1"/>
        <v>94.568349999999995</v>
      </c>
      <c r="G11">
        <f t="shared" si="2"/>
        <v>236.420875</v>
      </c>
      <c r="H11">
        <f t="shared" si="3"/>
        <v>94.568349999999995</v>
      </c>
    </row>
    <row r="12" spans="2:8">
      <c r="B12" s="13" t="s">
        <v>6</v>
      </c>
      <c r="C12" s="5">
        <v>3.2108109374999998</v>
      </c>
      <c r="D12" s="2" t="s">
        <v>23</v>
      </c>
      <c r="E12" s="1">
        <f t="shared" si="0"/>
        <v>1027.4594999999999</v>
      </c>
      <c r="F12" s="1">
        <f t="shared" si="1"/>
        <v>102.74594999999999</v>
      </c>
      <c r="G12">
        <f t="shared" si="2"/>
        <v>256.86487499999998</v>
      </c>
      <c r="H12">
        <f t="shared" si="3"/>
        <v>102.74594999999999</v>
      </c>
    </row>
    <row r="13" spans="2:8">
      <c r="B13" s="13" t="s">
        <v>7</v>
      </c>
      <c r="C13" s="5">
        <v>2.3740427859487059</v>
      </c>
      <c r="D13" s="2" t="s">
        <v>24</v>
      </c>
      <c r="E13" s="1">
        <f t="shared" si="0"/>
        <v>759.69369150358591</v>
      </c>
      <c r="F13" s="1">
        <f t="shared" si="1"/>
        <v>75.969369150358588</v>
      </c>
      <c r="G13">
        <f t="shared" si="2"/>
        <v>189.92342287589648</v>
      </c>
      <c r="H13">
        <f t="shared" si="3"/>
        <v>75.969369150358588</v>
      </c>
    </row>
    <row r="14" spans="2:8">
      <c r="B14" s="13" t="s">
        <v>8</v>
      </c>
      <c r="C14" s="5">
        <v>4.2974234375</v>
      </c>
      <c r="D14" s="2" t="s">
        <v>37</v>
      </c>
      <c r="E14" s="1">
        <f t="shared" si="0"/>
        <v>1375.1755000000001</v>
      </c>
      <c r="F14" s="1">
        <f t="shared" si="1"/>
        <v>137.51755</v>
      </c>
      <c r="G14">
        <f t="shared" si="2"/>
        <v>343.79387500000001</v>
      </c>
      <c r="H14">
        <f t="shared" si="3"/>
        <v>137.51755</v>
      </c>
    </row>
    <row r="15" spans="2:8">
      <c r="B15" s="13" t="s">
        <v>9</v>
      </c>
      <c r="C15" s="5">
        <v>2.6574125</v>
      </c>
      <c r="D15" s="2" t="s">
        <v>38</v>
      </c>
      <c r="E15" s="1">
        <f t="shared" si="0"/>
        <v>850.37199999999996</v>
      </c>
      <c r="F15" s="1">
        <f t="shared" si="1"/>
        <v>85.037199999999999</v>
      </c>
      <c r="G15">
        <f t="shared" si="2"/>
        <v>212.59299999999999</v>
      </c>
      <c r="H15">
        <f t="shared" si="3"/>
        <v>85.037199999999999</v>
      </c>
    </row>
    <row r="16" spans="2:8">
      <c r="B16" s="13" t="s">
        <v>10</v>
      </c>
      <c r="C16" s="5">
        <v>1.92339375</v>
      </c>
      <c r="D16" s="2" t="s">
        <v>40</v>
      </c>
      <c r="E16" s="1">
        <f t="shared" si="0"/>
        <v>615.48599999999999</v>
      </c>
      <c r="F16" s="1">
        <f t="shared" si="1"/>
        <v>61.5486</v>
      </c>
      <c r="G16">
        <f t="shared" si="2"/>
        <v>153.8715</v>
      </c>
      <c r="H16">
        <f t="shared" si="3"/>
        <v>61.5486</v>
      </c>
    </row>
    <row r="17" spans="2:8">
      <c r="B17" s="14" t="s">
        <v>41</v>
      </c>
      <c r="C17" s="5">
        <v>2.1168187500000002</v>
      </c>
      <c r="D17" s="2" t="s">
        <v>39</v>
      </c>
      <c r="E17" s="1">
        <f t="shared" si="0"/>
        <v>677.38200000000006</v>
      </c>
      <c r="F17" s="1">
        <f t="shared" si="1"/>
        <v>67.738200000000006</v>
      </c>
      <c r="G17">
        <f t="shared" si="2"/>
        <v>169.34550000000002</v>
      </c>
      <c r="H17">
        <f t="shared" si="3"/>
        <v>67.738200000000006</v>
      </c>
    </row>
    <row r="18" spans="2:8">
      <c r="B18" s="14" t="s">
        <v>42</v>
      </c>
      <c r="C18" s="5">
        <v>2.9429484375000001</v>
      </c>
      <c r="D18" s="2" t="s">
        <v>25</v>
      </c>
      <c r="E18" s="1">
        <f t="shared" si="0"/>
        <v>941.74350000000004</v>
      </c>
      <c r="F18" s="1">
        <f t="shared" si="1"/>
        <v>94.174350000000004</v>
      </c>
      <c r="G18">
        <f t="shared" si="2"/>
        <v>235.43587500000001</v>
      </c>
      <c r="H18">
        <f t="shared" si="3"/>
        <v>94.174350000000004</v>
      </c>
    </row>
    <row r="19" spans="2:8">
      <c r="B19" s="2" t="s">
        <v>26</v>
      </c>
      <c r="C19" s="5">
        <v>10</v>
      </c>
      <c r="D19" s="2" t="s">
        <v>27</v>
      </c>
      <c r="E19" s="1">
        <f t="shared" si="0"/>
        <v>3200</v>
      </c>
      <c r="F19" s="1">
        <f t="shared" si="1"/>
        <v>320</v>
      </c>
      <c r="G19">
        <f t="shared" si="2"/>
        <v>800</v>
      </c>
      <c r="H19">
        <f>E19/$H$4</f>
        <v>320</v>
      </c>
    </row>
    <row r="20" spans="2:8" ht="15" thickBot="1">
      <c r="B20" s="15" t="s">
        <v>11</v>
      </c>
      <c r="C20" s="4">
        <v>10</v>
      </c>
      <c r="D20" s="15" t="s">
        <v>27</v>
      </c>
      <c r="E20" s="16">
        <f t="shared" si="0"/>
        <v>3200</v>
      </c>
      <c r="F20" s="16">
        <f t="shared" si="1"/>
        <v>320</v>
      </c>
      <c r="G20" s="17">
        <f t="shared" si="2"/>
        <v>800</v>
      </c>
      <c r="H20" s="17">
        <f t="shared" si="3"/>
        <v>320</v>
      </c>
    </row>
    <row r="21" spans="2:8">
      <c r="B21" s="2"/>
    </row>
    <row r="23" spans="2:8">
      <c r="C23" t="s">
        <v>36</v>
      </c>
      <c r="D23" s="2" t="s">
        <v>29</v>
      </c>
    </row>
    <row r="24" spans="2:8">
      <c r="B24" t="s">
        <v>0</v>
      </c>
      <c r="C24">
        <v>13.27834</v>
      </c>
      <c r="D24">
        <v>1000</v>
      </c>
    </row>
    <row r="25" spans="2:8">
      <c r="B25" t="s">
        <v>30</v>
      </c>
      <c r="C25">
        <v>132</v>
      </c>
      <c r="D25">
        <v>10000</v>
      </c>
    </row>
    <row r="27" spans="2:8">
      <c r="F27" t="s">
        <v>35</v>
      </c>
    </row>
    <row r="28" spans="2:8">
      <c r="F28" t="s">
        <v>31</v>
      </c>
      <c r="G28" t="s">
        <v>31</v>
      </c>
    </row>
    <row r="29" spans="2:8">
      <c r="F29" t="s">
        <v>32</v>
      </c>
      <c r="G29" t="s">
        <v>32</v>
      </c>
    </row>
    <row r="30" spans="2:8">
      <c r="F30" t="s">
        <v>33</v>
      </c>
      <c r="G30" t="s">
        <v>34</v>
      </c>
    </row>
  </sheetData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EF45-83A7-4CF4-98A8-EE94809AD42F}">
  <dimension ref="A1:I160"/>
  <sheetViews>
    <sheetView workbookViewId="0">
      <selection activeCell="G46" sqref="G46"/>
    </sheetView>
  </sheetViews>
  <sheetFormatPr defaultRowHeight="14.5"/>
  <cols>
    <col min="1" max="1" width="20.26953125" bestFit="1" customWidth="1"/>
    <col min="2" max="2" width="10" bestFit="1" customWidth="1"/>
    <col min="3" max="3" width="28.1796875" customWidth="1"/>
    <col min="4" max="4" width="5" bestFit="1" customWidth="1"/>
    <col min="8" max="8" width="20.26953125" bestFit="1" customWidth="1"/>
    <col min="9" max="9" width="9" bestFit="1" customWidth="1"/>
  </cols>
  <sheetData>
    <row r="1" spans="1:9">
      <c r="A1" s="19" t="s">
        <v>0</v>
      </c>
      <c r="B1" s="1">
        <f>VLOOKUP(A1,$H$1:$I$15,2,FALSE)</f>
        <v>66.3917</v>
      </c>
      <c r="C1" s="19" t="s">
        <v>48</v>
      </c>
      <c r="D1" s="1">
        <v>983</v>
      </c>
      <c r="H1" t="s">
        <v>0</v>
      </c>
      <c r="I1">
        <v>66.3917</v>
      </c>
    </row>
    <row r="2" spans="1:9">
      <c r="A2" s="19" t="s">
        <v>1</v>
      </c>
      <c r="B2" s="1">
        <f t="shared" ref="B2:B65" si="0">VLOOKUP(A2,$H$1:$I$15,2,FALSE)</f>
        <v>70.320999999999998</v>
      </c>
      <c r="C2" s="19" t="s">
        <v>49</v>
      </c>
      <c r="D2" s="1">
        <v>634</v>
      </c>
      <c r="H2" t="s">
        <v>1</v>
      </c>
      <c r="I2">
        <v>70.320999999999998</v>
      </c>
    </row>
    <row r="3" spans="1:9">
      <c r="A3" s="19" t="s">
        <v>0</v>
      </c>
      <c r="B3" s="1">
        <f t="shared" si="0"/>
        <v>66.3917</v>
      </c>
      <c r="C3" s="19" t="s">
        <v>50</v>
      </c>
      <c r="D3" s="1">
        <v>983</v>
      </c>
      <c r="H3" t="s">
        <v>2</v>
      </c>
      <c r="I3">
        <v>64.348408020385577</v>
      </c>
    </row>
    <row r="4" spans="1:9">
      <c r="A4" s="19" t="s">
        <v>1</v>
      </c>
      <c r="B4" s="1">
        <f t="shared" si="0"/>
        <v>70.320999999999998</v>
      </c>
      <c r="C4" s="19" t="s">
        <v>51</v>
      </c>
      <c r="D4" s="1">
        <v>634</v>
      </c>
      <c r="H4" t="s">
        <v>3</v>
      </c>
      <c r="I4">
        <v>65.443313002277435</v>
      </c>
    </row>
    <row r="5" spans="1:9">
      <c r="A5" s="19" t="s">
        <v>2</v>
      </c>
      <c r="B5" s="1">
        <f t="shared" si="0"/>
        <v>64.348408020385577</v>
      </c>
      <c r="C5" s="19" t="s">
        <v>52</v>
      </c>
      <c r="D5" s="1">
        <v>777</v>
      </c>
      <c r="H5" t="s">
        <v>4</v>
      </c>
      <c r="I5">
        <v>59.022818221524439</v>
      </c>
    </row>
    <row r="6" spans="1:9">
      <c r="A6" s="19" t="s">
        <v>2</v>
      </c>
      <c r="B6" s="1">
        <f t="shared" si="0"/>
        <v>64.348408020385577</v>
      </c>
      <c r="C6" s="19" t="s">
        <v>53</v>
      </c>
      <c r="D6" s="1">
        <v>732</v>
      </c>
      <c r="H6" t="s">
        <v>5</v>
      </c>
      <c r="I6">
        <v>94.568349999999995</v>
      </c>
    </row>
    <row r="7" spans="1:9">
      <c r="A7" s="19" t="s">
        <v>3</v>
      </c>
      <c r="B7" s="1">
        <f t="shared" si="0"/>
        <v>65.443313002277435</v>
      </c>
      <c r="C7" s="19" t="s">
        <v>54</v>
      </c>
      <c r="D7" s="1">
        <v>1031</v>
      </c>
      <c r="H7" t="s">
        <v>6</v>
      </c>
      <c r="I7">
        <v>102.74594999999999</v>
      </c>
    </row>
    <row r="8" spans="1:9">
      <c r="A8" s="19" t="s">
        <v>4</v>
      </c>
      <c r="B8" s="1">
        <f t="shared" si="0"/>
        <v>59.022818221524439</v>
      </c>
      <c r="C8" s="19" t="s">
        <v>55</v>
      </c>
      <c r="D8" s="1">
        <v>340</v>
      </c>
      <c r="H8" t="s">
        <v>7</v>
      </c>
      <c r="I8">
        <v>75.969369150358588</v>
      </c>
    </row>
    <row r="9" spans="1:9">
      <c r="A9" s="19" t="s">
        <v>5</v>
      </c>
      <c r="B9" s="1">
        <f t="shared" si="0"/>
        <v>94.568349999999995</v>
      </c>
      <c r="C9" s="19" t="s">
        <v>56</v>
      </c>
      <c r="D9" s="1">
        <v>340</v>
      </c>
      <c r="H9" t="s">
        <v>8</v>
      </c>
      <c r="I9">
        <v>137.51755</v>
      </c>
    </row>
    <row r="10" spans="1:9">
      <c r="A10" s="19" t="s">
        <v>5</v>
      </c>
      <c r="B10" s="1">
        <f t="shared" si="0"/>
        <v>94.568349999999995</v>
      </c>
      <c r="C10" s="19" t="s">
        <v>57</v>
      </c>
      <c r="D10" s="1">
        <v>246</v>
      </c>
      <c r="H10" t="s">
        <v>9</v>
      </c>
      <c r="I10">
        <v>85.037199999999999</v>
      </c>
    </row>
    <row r="11" spans="1:9">
      <c r="A11" s="19" t="s">
        <v>6</v>
      </c>
      <c r="B11" s="1">
        <f t="shared" si="0"/>
        <v>102.74594999999999</v>
      </c>
      <c r="C11" s="19" t="s">
        <v>58</v>
      </c>
      <c r="D11" s="1">
        <v>246</v>
      </c>
      <c r="H11" t="s">
        <v>10</v>
      </c>
      <c r="I11">
        <v>61.5486</v>
      </c>
    </row>
    <row r="12" spans="1:9">
      <c r="A12" s="19" t="s">
        <v>6</v>
      </c>
      <c r="B12" s="1">
        <f t="shared" si="0"/>
        <v>102.74594999999999</v>
      </c>
      <c r="C12" s="19" t="s">
        <v>59</v>
      </c>
      <c r="D12" s="1">
        <v>-1</v>
      </c>
      <c r="H12" t="s">
        <v>41</v>
      </c>
      <c r="I12">
        <v>67.738200000000006</v>
      </c>
    </row>
    <row r="13" spans="1:9">
      <c r="A13" s="19" t="s">
        <v>7</v>
      </c>
      <c r="B13" s="1">
        <f t="shared" si="0"/>
        <v>75.969369150358588</v>
      </c>
      <c r="C13" s="19" t="s">
        <v>60</v>
      </c>
      <c r="D13" s="1">
        <v>-1</v>
      </c>
      <c r="H13" t="s">
        <v>42</v>
      </c>
      <c r="I13">
        <v>94.174350000000004</v>
      </c>
    </row>
    <row r="14" spans="1:9">
      <c r="A14" s="19" t="s">
        <v>8</v>
      </c>
      <c r="B14" s="1">
        <f t="shared" si="0"/>
        <v>137.51755</v>
      </c>
      <c r="C14" s="19" t="s">
        <v>37</v>
      </c>
      <c r="D14" s="1">
        <v>-1</v>
      </c>
      <c r="H14" t="s">
        <v>26</v>
      </c>
      <c r="I14">
        <v>320</v>
      </c>
    </row>
    <row r="15" spans="1:9">
      <c r="A15" s="19" t="s">
        <v>9</v>
      </c>
      <c r="B15" s="1">
        <f t="shared" si="0"/>
        <v>85.037199999999999</v>
      </c>
      <c r="C15" s="19" t="s">
        <v>38</v>
      </c>
      <c r="D15" s="1">
        <v>-1</v>
      </c>
      <c r="H15" t="s">
        <v>11</v>
      </c>
      <c r="I15">
        <v>320</v>
      </c>
    </row>
    <row r="16" spans="1:9">
      <c r="A16" s="19" t="s">
        <v>10</v>
      </c>
      <c r="B16" s="1">
        <f t="shared" si="0"/>
        <v>61.5486</v>
      </c>
      <c r="C16" s="19" t="s">
        <v>40</v>
      </c>
      <c r="D16" s="1">
        <v>924</v>
      </c>
    </row>
    <row r="17" spans="1:4">
      <c r="A17" s="19" t="s">
        <v>41</v>
      </c>
      <c r="B17" s="1">
        <f t="shared" si="0"/>
        <v>67.738200000000006</v>
      </c>
      <c r="C17" s="19" t="s">
        <v>39</v>
      </c>
      <c r="D17" s="1">
        <v>343</v>
      </c>
    </row>
    <row r="18" spans="1:4">
      <c r="A18" s="19" t="s">
        <v>42</v>
      </c>
      <c r="B18" s="1">
        <f t="shared" si="0"/>
        <v>94.174350000000004</v>
      </c>
      <c r="C18" s="19" t="s">
        <v>61</v>
      </c>
      <c r="D18" s="1">
        <v>94</v>
      </c>
    </row>
    <row r="19" spans="1:4">
      <c r="A19" s="19" t="s">
        <v>11</v>
      </c>
      <c r="B19" s="1">
        <f t="shared" si="0"/>
        <v>320</v>
      </c>
      <c r="C19" s="19" t="s">
        <v>62</v>
      </c>
      <c r="D19" s="1">
        <v>94</v>
      </c>
    </row>
    <row r="20" spans="1:4">
      <c r="A20" s="19" t="s">
        <v>11</v>
      </c>
      <c r="B20" s="1">
        <f t="shared" si="0"/>
        <v>320</v>
      </c>
      <c r="C20" s="19" t="s">
        <v>63</v>
      </c>
      <c r="D20" s="1">
        <v>94</v>
      </c>
    </row>
    <row r="21" spans="1:4">
      <c r="A21" s="19" t="s">
        <v>11</v>
      </c>
      <c r="B21" s="1">
        <f t="shared" si="0"/>
        <v>320</v>
      </c>
      <c r="C21" s="19" t="s">
        <v>64</v>
      </c>
      <c r="D21" s="1">
        <v>340</v>
      </c>
    </row>
    <row r="22" spans="1:4">
      <c r="A22" s="19" t="s">
        <v>5</v>
      </c>
      <c r="B22" s="1">
        <f t="shared" si="0"/>
        <v>94.568349999999995</v>
      </c>
      <c r="C22" s="19" t="s">
        <v>65</v>
      </c>
    </row>
    <row r="23" spans="1:4">
      <c r="A23" s="19" t="s">
        <v>5</v>
      </c>
      <c r="B23" s="1">
        <f t="shared" si="0"/>
        <v>94.568349999999995</v>
      </c>
      <c r="C23" s="19" t="s">
        <v>66</v>
      </c>
    </row>
    <row r="24" spans="1:4">
      <c r="A24" s="19" t="s">
        <v>5</v>
      </c>
      <c r="B24" s="1">
        <f t="shared" si="0"/>
        <v>94.568349999999995</v>
      </c>
      <c r="C24" s="19" t="s">
        <v>67</v>
      </c>
    </row>
    <row r="25" spans="1:4">
      <c r="A25" s="19" t="s">
        <v>5</v>
      </c>
      <c r="B25" s="1">
        <f t="shared" si="0"/>
        <v>94.568349999999995</v>
      </c>
      <c r="C25" s="19" t="s">
        <v>68</v>
      </c>
    </row>
    <row r="26" spans="1:4">
      <c r="A26" s="19" t="s">
        <v>5</v>
      </c>
      <c r="B26" s="1">
        <f t="shared" si="0"/>
        <v>94.568349999999995</v>
      </c>
      <c r="C26" s="19" t="s">
        <v>69</v>
      </c>
    </row>
    <row r="27" spans="1:4">
      <c r="A27" s="19" t="s">
        <v>5</v>
      </c>
      <c r="B27" s="1">
        <f t="shared" si="0"/>
        <v>94.568349999999995</v>
      </c>
      <c r="C27" s="19" t="s">
        <v>70</v>
      </c>
    </row>
    <row r="28" spans="1:4">
      <c r="A28" s="19" t="s">
        <v>5</v>
      </c>
      <c r="B28" s="1">
        <f t="shared" si="0"/>
        <v>94.568349999999995</v>
      </c>
      <c r="C28" s="19" t="s">
        <v>71</v>
      </c>
    </row>
    <row r="29" spans="1:4">
      <c r="A29" s="19" t="s">
        <v>5</v>
      </c>
      <c r="B29" s="1">
        <f t="shared" si="0"/>
        <v>94.568349999999995</v>
      </c>
      <c r="C29" s="19" t="s">
        <v>72</v>
      </c>
    </row>
    <row r="30" spans="1:4">
      <c r="A30" s="19" t="s">
        <v>5</v>
      </c>
      <c r="B30" s="1">
        <f t="shared" si="0"/>
        <v>94.568349999999995</v>
      </c>
      <c r="C30" s="19" t="s">
        <v>73</v>
      </c>
    </row>
    <row r="31" spans="1:4">
      <c r="A31" s="19" t="s">
        <v>5</v>
      </c>
      <c r="B31" s="1">
        <f t="shared" si="0"/>
        <v>94.568349999999995</v>
      </c>
      <c r="C31" s="19" t="s">
        <v>74</v>
      </c>
    </row>
    <row r="32" spans="1:4">
      <c r="A32" s="19" t="s">
        <v>5</v>
      </c>
      <c r="B32" s="1">
        <f t="shared" si="0"/>
        <v>94.568349999999995</v>
      </c>
      <c r="C32" s="19" t="s">
        <v>75</v>
      </c>
    </row>
    <row r="33" spans="1:3">
      <c r="A33" s="19" t="s">
        <v>5</v>
      </c>
      <c r="B33" s="1">
        <f t="shared" si="0"/>
        <v>94.568349999999995</v>
      </c>
      <c r="C33" s="19" t="s">
        <v>76</v>
      </c>
    </row>
    <row r="34" spans="1:3">
      <c r="A34" s="19" t="s">
        <v>5</v>
      </c>
      <c r="B34" s="1">
        <f t="shared" si="0"/>
        <v>94.568349999999995</v>
      </c>
      <c r="C34" s="19" t="s">
        <v>77</v>
      </c>
    </row>
    <row r="35" spans="1:3">
      <c r="A35" s="19" t="s">
        <v>5</v>
      </c>
      <c r="B35" s="1">
        <f t="shared" si="0"/>
        <v>94.568349999999995</v>
      </c>
      <c r="C35" s="19" t="s">
        <v>78</v>
      </c>
    </row>
    <row r="36" spans="1:3">
      <c r="A36" s="19" t="s">
        <v>5</v>
      </c>
      <c r="B36" s="1">
        <f t="shared" si="0"/>
        <v>94.568349999999995</v>
      </c>
      <c r="C36" s="19" t="s">
        <v>79</v>
      </c>
    </row>
    <row r="37" spans="1:3">
      <c r="A37" s="19" t="s">
        <v>5</v>
      </c>
      <c r="B37" s="1">
        <f t="shared" si="0"/>
        <v>94.568349999999995</v>
      </c>
      <c r="C37" s="19" t="s">
        <v>80</v>
      </c>
    </row>
    <row r="38" spans="1:3">
      <c r="A38" s="19" t="s">
        <v>5</v>
      </c>
      <c r="B38" s="1">
        <f t="shared" si="0"/>
        <v>94.568349999999995</v>
      </c>
      <c r="C38" s="19" t="s">
        <v>81</v>
      </c>
    </row>
    <row r="39" spans="1:3">
      <c r="A39" s="19" t="s">
        <v>5</v>
      </c>
      <c r="B39" s="1">
        <f t="shared" si="0"/>
        <v>94.568349999999995</v>
      </c>
      <c r="C39" s="19" t="s">
        <v>82</v>
      </c>
    </row>
    <row r="40" spans="1:3">
      <c r="A40" s="19" t="s">
        <v>5</v>
      </c>
      <c r="B40" s="1">
        <f t="shared" si="0"/>
        <v>94.568349999999995</v>
      </c>
      <c r="C40" s="19" t="s">
        <v>83</v>
      </c>
    </row>
    <row r="41" spans="1:3">
      <c r="A41" s="19" t="s">
        <v>5</v>
      </c>
      <c r="B41" s="1">
        <f t="shared" si="0"/>
        <v>94.568349999999995</v>
      </c>
      <c r="C41" s="19" t="s">
        <v>84</v>
      </c>
    </row>
    <row r="42" spans="1:3">
      <c r="A42" s="19" t="s">
        <v>5</v>
      </c>
      <c r="B42" s="1">
        <f t="shared" si="0"/>
        <v>94.568349999999995</v>
      </c>
      <c r="C42" s="19" t="s">
        <v>85</v>
      </c>
    </row>
    <row r="43" spans="1:3">
      <c r="A43" s="19" t="s">
        <v>5</v>
      </c>
      <c r="B43" s="1">
        <f t="shared" si="0"/>
        <v>94.568349999999995</v>
      </c>
      <c r="C43" s="19" t="s">
        <v>86</v>
      </c>
    </row>
    <row r="44" spans="1:3">
      <c r="A44" s="19" t="s">
        <v>5</v>
      </c>
      <c r="B44" s="1">
        <f t="shared" si="0"/>
        <v>94.568349999999995</v>
      </c>
      <c r="C44" s="19" t="s">
        <v>87</v>
      </c>
    </row>
    <row r="45" spans="1:3">
      <c r="A45" s="19" t="s">
        <v>5</v>
      </c>
      <c r="B45" s="1">
        <f t="shared" si="0"/>
        <v>94.568349999999995</v>
      </c>
      <c r="C45" s="19" t="s">
        <v>88</v>
      </c>
    </row>
    <row r="46" spans="1:3">
      <c r="A46" s="19" t="s">
        <v>5</v>
      </c>
      <c r="B46" s="1">
        <f t="shared" si="0"/>
        <v>94.568349999999995</v>
      </c>
      <c r="C46" s="19" t="s">
        <v>89</v>
      </c>
    </row>
    <row r="47" spans="1:3">
      <c r="A47" s="19" t="s">
        <v>5</v>
      </c>
      <c r="B47" s="1">
        <f t="shared" si="0"/>
        <v>94.568349999999995</v>
      </c>
      <c r="C47" s="19" t="s">
        <v>90</v>
      </c>
    </row>
    <row r="48" spans="1:3">
      <c r="A48" s="19" t="s">
        <v>5</v>
      </c>
      <c r="B48" s="1">
        <f t="shared" si="0"/>
        <v>94.568349999999995</v>
      </c>
      <c r="C48" s="19" t="s">
        <v>91</v>
      </c>
    </row>
    <row r="49" spans="1:3">
      <c r="A49" s="19" t="s">
        <v>5</v>
      </c>
      <c r="B49" s="1">
        <f t="shared" si="0"/>
        <v>94.568349999999995</v>
      </c>
      <c r="C49" s="19" t="s">
        <v>92</v>
      </c>
    </row>
    <row r="50" spans="1:3">
      <c r="A50" s="19" t="s">
        <v>5</v>
      </c>
      <c r="B50" s="1">
        <f t="shared" si="0"/>
        <v>94.568349999999995</v>
      </c>
      <c r="C50" s="19" t="s">
        <v>93</v>
      </c>
    </row>
    <row r="51" spans="1:3">
      <c r="A51" s="19" t="s">
        <v>5</v>
      </c>
      <c r="B51" s="1">
        <f t="shared" si="0"/>
        <v>94.568349999999995</v>
      </c>
      <c r="C51" s="19" t="s">
        <v>94</v>
      </c>
    </row>
    <row r="52" spans="1:3">
      <c r="A52" s="19" t="s">
        <v>5</v>
      </c>
      <c r="B52" s="1">
        <f t="shared" si="0"/>
        <v>94.568349999999995</v>
      </c>
      <c r="C52" s="19" t="s">
        <v>95</v>
      </c>
    </row>
    <row r="53" spans="1:3">
      <c r="A53" s="19" t="s">
        <v>5</v>
      </c>
      <c r="B53" s="1">
        <f t="shared" si="0"/>
        <v>94.568349999999995</v>
      </c>
      <c r="C53" s="19" t="s">
        <v>96</v>
      </c>
    </row>
    <row r="54" spans="1:3">
      <c r="A54" s="19" t="s">
        <v>5</v>
      </c>
      <c r="B54" s="1">
        <f t="shared" si="0"/>
        <v>94.568349999999995</v>
      </c>
      <c r="C54" s="19" t="s">
        <v>97</v>
      </c>
    </row>
    <row r="55" spans="1:3">
      <c r="A55" s="19" t="s">
        <v>5</v>
      </c>
      <c r="B55" s="1">
        <f t="shared" si="0"/>
        <v>94.568349999999995</v>
      </c>
      <c r="C55" s="19" t="s">
        <v>98</v>
      </c>
    </row>
    <row r="56" spans="1:3">
      <c r="A56" s="19" t="s">
        <v>5</v>
      </c>
      <c r="B56" s="1">
        <f t="shared" si="0"/>
        <v>94.568349999999995</v>
      </c>
      <c r="C56" s="19" t="s">
        <v>99</v>
      </c>
    </row>
    <row r="57" spans="1:3">
      <c r="A57" s="19" t="s">
        <v>5</v>
      </c>
      <c r="B57" s="1">
        <f t="shared" si="0"/>
        <v>94.568349999999995</v>
      </c>
      <c r="C57" s="19" t="s">
        <v>100</v>
      </c>
    </row>
    <row r="58" spans="1:3">
      <c r="A58" s="19" t="s">
        <v>5</v>
      </c>
      <c r="B58" s="1">
        <f t="shared" si="0"/>
        <v>94.568349999999995</v>
      </c>
      <c r="C58" s="19" t="s">
        <v>101</v>
      </c>
    </row>
    <row r="59" spans="1:3">
      <c r="A59" s="19" t="s">
        <v>5</v>
      </c>
      <c r="B59" s="1">
        <f t="shared" si="0"/>
        <v>94.568349999999995</v>
      </c>
      <c r="C59" s="19" t="s">
        <v>102</v>
      </c>
    </row>
    <row r="60" spans="1:3">
      <c r="A60" s="19" t="s">
        <v>5</v>
      </c>
      <c r="B60" s="1">
        <f t="shared" si="0"/>
        <v>94.568349999999995</v>
      </c>
      <c r="C60" s="19" t="s">
        <v>103</v>
      </c>
    </row>
    <row r="61" spans="1:3">
      <c r="A61" s="19" t="s">
        <v>5</v>
      </c>
      <c r="B61" s="1">
        <f t="shared" si="0"/>
        <v>94.568349999999995</v>
      </c>
      <c r="C61" s="19" t="s">
        <v>104</v>
      </c>
    </row>
    <row r="62" spans="1:3">
      <c r="A62" s="19" t="s">
        <v>5</v>
      </c>
      <c r="B62" s="1">
        <f t="shared" si="0"/>
        <v>94.568349999999995</v>
      </c>
      <c r="C62" s="19" t="s">
        <v>105</v>
      </c>
    </row>
    <row r="63" spans="1:3">
      <c r="A63" s="19" t="s">
        <v>5</v>
      </c>
      <c r="B63" s="1">
        <f t="shared" si="0"/>
        <v>94.568349999999995</v>
      </c>
      <c r="C63" s="19" t="s">
        <v>106</v>
      </c>
    </row>
    <row r="64" spans="1:3">
      <c r="A64" s="19" t="s">
        <v>5</v>
      </c>
      <c r="B64" s="1">
        <f t="shared" si="0"/>
        <v>94.568349999999995</v>
      </c>
      <c r="C64" s="19" t="s">
        <v>107</v>
      </c>
    </row>
    <row r="65" spans="1:3">
      <c r="A65" s="19" t="s">
        <v>5</v>
      </c>
      <c r="B65" s="1">
        <f t="shared" si="0"/>
        <v>94.568349999999995</v>
      </c>
      <c r="C65" s="19" t="s">
        <v>108</v>
      </c>
    </row>
    <row r="66" spans="1:3">
      <c r="A66" s="19" t="s">
        <v>5</v>
      </c>
      <c r="B66" s="1">
        <f t="shared" ref="B66:B129" si="1">VLOOKUP(A66,$H$1:$I$15,2,FALSE)</f>
        <v>94.568349999999995</v>
      </c>
      <c r="C66" s="19" t="s">
        <v>109</v>
      </c>
    </row>
    <row r="67" spans="1:3">
      <c r="A67" s="19" t="s">
        <v>5</v>
      </c>
      <c r="B67" s="1">
        <f t="shared" si="1"/>
        <v>94.568349999999995</v>
      </c>
      <c r="C67" s="19" t="s">
        <v>110</v>
      </c>
    </row>
    <row r="68" spans="1:3">
      <c r="A68" s="19" t="s">
        <v>5</v>
      </c>
      <c r="B68" s="1">
        <f t="shared" si="1"/>
        <v>94.568349999999995</v>
      </c>
      <c r="C68" s="19" t="s">
        <v>111</v>
      </c>
    </row>
    <row r="69" spans="1:3">
      <c r="A69" s="19" t="s">
        <v>5</v>
      </c>
      <c r="B69" s="1">
        <f t="shared" si="1"/>
        <v>94.568349999999995</v>
      </c>
      <c r="C69" s="19" t="s">
        <v>112</v>
      </c>
    </row>
    <row r="70" spans="1:3">
      <c r="A70" s="19" t="s">
        <v>5</v>
      </c>
      <c r="B70" s="1">
        <f t="shared" si="1"/>
        <v>94.568349999999995</v>
      </c>
      <c r="C70" s="19" t="s">
        <v>113</v>
      </c>
    </row>
    <row r="71" spans="1:3">
      <c r="A71" s="19" t="s">
        <v>5</v>
      </c>
      <c r="B71" s="1">
        <f t="shared" si="1"/>
        <v>94.568349999999995</v>
      </c>
      <c r="C71" s="19" t="s">
        <v>114</v>
      </c>
    </row>
    <row r="72" spans="1:3">
      <c r="A72" s="19" t="s">
        <v>5</v>
      </c>
      <c r="B72" s="1">
        <f t="shared" si="1"/>
        <v>94.568349999999995</v>
      </c>
      <c r="C72" s="19" t="s">
        <v>115</v>
      </c>
    </row>
    <row r="73" spans="1:3">
      <c r="A73" s="19" t="s">
        <v>5</v>
      </c>
      <c r="B73" s="1">
        <f t="shared" si="1"/>
        <v>94.568349999999995</v>
      </c>
      <c r="C73" s="19" t="s">
        <v>116</v>
      </c>
    </row>
    <row r="74" spans="1:3">
      <c r="A74" s="19" t="s">
        <v>5</v>
      </c>
      <c r="B74" s="1">
        <f t="shared" si="1"/>
        <v>94.568349999999995</v>
      </c>
      <c r="C74" s="19" t="s">
        <v>117</v>
      </c>
    </row>
    <row r="75" spans="1:3">
      <c r="A75" s="19" t="s">
        <v>5</v>
      </c>
      <c r="B75" s="1">
        <f t="shared" si="1"/>
        <v>94.568349999999995</v>
      </c>
      <c r="C75" s="19" t="s">
        <v>118</v>
      </c>
    </row>
    <row r="76" spans="1:3">
      <c r="A76" s="19" t="s">
        <v>5</v>
      </c>
      <c r="B76" s="1">
        <f t="shared" si="1"/>
        <v>94.568349999999995</v>
      </c>
      <c r="C76" s="19" t="s">
        <v>119</v>
      </c>
    </row>
    <row r="77" spans="1:3">
      <c r="A77" s="19" t="s">
        <v>5</v>
      </c>
      <c r="B77" s="1">
        <f t="shared" si="1"/>
        <v>94.568349999999995</v>
      </c>
      <c r="C77" s="19" t="s">
        <v>120</v>
      </c>
    </row>
    <row r="78" spans="1:3">
      <c r="A78" s="19" t="s">
        <v>5</v>
      </c>
      <c r="B78" s="1">
        <f t="shared" si="1"/>
        <v>94.568349999999995</v>
      </c>
      <c r="C78" s="19" t="s">
        <v>121</v>
      </c>
    </row>
    <row r="79" spans="1:3">
      <c r="A79" s="19" t="s">
        <v>5</v>
      </c>
      <c r="B79" s="1">
        <f t="shared" si="1"/>
        <v>94.568349999999995</v>
      </c>
      <c r="C79" s="19" t="s">
        <v>122</v>
      </c>
    </row>
    <row r="80" spans="1:3">
      <c r="A80" s="19" t="s">
        <v>5</v>
      </c>
      <c r="B80" s="1">
        <f t="shared" si="1"/>
        <v>94.568349999999995</v>
      </c>
      <c r="C80" s="19" t="s">
        <v>123</v>
      </c>
    </row>
    <row r="81" spans="1:3">
      <c r="A81" s="19" t="s">
        <v>5</v>
      </c>
      <c r="B81" s="1">
        <f t="shared" si="1"/>
        <v>94.568349999999995</v>
      </c>
      <c r="C81" s="19" t="s">
        <v>124</v>
      </c>
    </row>
    <row r="82" spans="1:3">
      <c r="A82" s="19" t="s">
        <v>5</v>
      </c>
      <c r="B82" s="1">
        <f t="shared" si="1"/>
        <v>94.568349999999995</v>
      </c>
      <c r="C82" s="19" t="s">
        <v>125</v>
      </c>
    </row>
    <row r="83" spans="1:3">
      <c r="A83" s="19" t="s">
        <v>0</v>
      </c>
      <c r="B83" s="1">
        <f t="shared" si="1"/>
        <v>66.3917</v>
      </c>
      <c r="C83" s="19" t="s">
        <v>126</v>
      </c>
    </row>
    <row r="84" spans="1:3">
      <c r="A84" s="19" t="s">
        <v>0</v>
      </c>
      <c r="B84" s="1">
        <f t="shared" si="1"/>
        <v>66.3917</v>
      </c>
      <c r="C84" s="19" t="s">
        <v>127</v>
      </c>
    </row>
    <row r="85" spans="1:3">
      <c r="A85" s="19" t="s">
        <v>1</v>
      </c>
      <c r="B85" s="1">
        <f t="shared" si="1"/>
        <v>70.320999999999998</v>
      </c>
      <c r="C85" s="19" t="s">
        <v>128</v>
      </c>
    </row>
    <row r="86" spans="1:3">
      <c r="A86" s="19" t="s">
        <v>1</v>
      </c>
      <c r="B86" s="1">
        <f t="shared" si="1"/>
        <v>70.320999999999998</v>
      </c>
      <c r="C86" s="19" t="s">
        <v>129</v>
      </c>
    </row>
    <row r="87" spans="1:3">
      <c r="A87" s="19" t="s">
        <v>1</v>
      </c>
      <c r="B87" s="1">
        <f t="shared" si="1"/>
        <v>70.320999999999998</v>
      </c>
      <c r="C87" s="19" t="s">
        <v>130</v>
      </c>
    </row>
    <row r="88" spans="1:3">
      <c r="A88" s="19" t="s">
        <v>3</v>
      </c>
      <c r="B88" s="1">
        <f t="shared" si="1"/>
        <v>65.443313002277435</v>
      </c>
      <c r="C88" s="19" t="s">
        <v>131</v>
      </c>
    </row>
    <row r="89" spans="1:3">
      <c r="A89" s="19" t="s">
        <v>3</v>
      </c>
      <c r="B89" s="1">
        <f t="shared" si="1"/>
        <v>65.443313002277435</v>
      </c>
      <c r="C89" s="19" t="s">
        <v>132</v>
      </c>
    </row>
    <row r="90" spans="1:3">
      <c r="A90" s="19" t="s">
        <v>3</v>
      </c>
      <c r="B90" s="1">
        <f t="shared" si="1"/>
        <v>65.443313002277435</v>
      </c>
      <c r="C90" s="19" t="s">
        <v>133</v>
      </c>
    </row>
    <row r="91" spans="1:3">
      <c r="A91" s="19" t="s">
        <v>3</v>
      </c>
      <c r="B91" s="1">
        <f t="shared" si="1"/>
        <v>65.443313002277435</v>
      </c>
      <c r="C91" s="19" t="s">
        <v>134</v>
      </c>
    </row>
    <row r="92" spans="1:3">
      <c r="A92" s="19" t="s">
        <v>3</v>
      </c>
      <c r="B92" s="1">
        <f t="shared" si="1"/>
        <v>65.443313002277435</v>
      </c>
      <c r="C92" s="19" t="s">
        <v>135</v>
      </c>
    </row>
    <row r="93" spans="1:3">
      <c r="A93" s="19" t="s">
        <v>3</v>
      </c>
      <c r="B93" s="1">
        <f t="shared" si="1"/>
        <v>65.443313002277435</v>
      </c>
      <c r="C93" s="19" t="s">
        <v>136</v>
      </c>
    </row>
    <row r="94" spans="1:3">
      <c r="A94" s="19" t="s">
        <v>3</v>
      </c>
      <c r="B94" s="1">
        <f t="shared" si="1"/>
        <v>65.443313002277435</v>
      </c>
      <c r="C94" s="19" t="s">
        <v>137</v>
      </c>
    </row>
    <row r="95" spans="1:3">
      <c r="A95" s="19" t="s">
        <v>3</v>
      </c>
      <c r="B95" s="1">
        <f t="shared" si="1"/>
        <v>65.443313002277435</v>
      </c>
      <c r="C95" s="19" t="s">
        <v>138</v>
      </c>
    </row>
    <row r="96" spans="1:3">
      <c r="A96" s="19" t="s">
        <v>4</v>
      </c>
      <c r="B96" s="1">
        <f t="shared" si="1"/>
        <v>59.022818221524439</v>
      </c>
      <c r="C96" s="19" t="s">
        <v>139</v>
      </c>
    </row>
    <row r="97" spans="1:3">
      <c r="A97" s="19" t="s">
        <v>4</v>
      </c>
      <c r="B97" s="1">
        <f t="shared" si="1"/>
        <v>59.022818221524439</v>
      </c>
      <c r="C97" s="19" t="s">
        <v>140</v>
      </c>
    </row>
    <row r="98" spans="1:3">
      <c r="A98" s="19" t="s">
        <v>4</v>
      </c>
      <c r="B98" s="1">
        <f t="shared" si="1"/>
        <v>59.022818221524439</v>
      </c>
      <c r="C98" s="19" t="s">
        <v>141</v>
      </c>
    </row>
    <row r="99" spans="1:3">
      <c r="A99" s="19" t="s">
        <v>2</v>
      </c>
      <c r="B99" s="1">
        <f t="shared" si="1"/>
        <v>64.348408020385577</v>
      </c>
      <c r="C99" s="19" t="s">
        <v>142</v>
      </c>
    </row>
    <row r="100" spans="1:3">
      <c r="A100" s="19" t="s">
        <v>2</v>
      </c>
      <c r="B100" s="1">
        <f t="shared" si="1"/>
        <v>64.348408020385577</v>
      </c>
      <c r="C100" s="19" t="s">
        <v>143</v>
      </c>
    </row>
    <row r="101" spans="1:3">
      <c r="A101" s="19" t="s">
        <v>2</v>
      </c>
      <c r="B101" s="1">
        <f t="shared" si="1"/>
        <v>64.348408020385577</v>
      </c>
      <c r="C101" s="19" t="s">
        <v>144</v>
      </c>
    </row>
    <row r="102" spans="1:3">
      <c r="A102" s="19" t="s">
        <v>2</v>
      </c>
      <c r="B102" s="1">
        <f t="shared" si="1"/>
        <v>64.348408020385577</v>
      </c>
      <c r="C102" s="19" t="s">
        <v>145</v>
      </c>
    </row>
    <row r="103" spans="1:3">
      <c r="A103" s="19" t="s">
        <v>41</v>
      </c>
      <c r="B103" s="1">
        <f t="shared" si="1"/>
        <v>67.738200000000006</v>
      </c>
      <c r="C103" s="19" t="s">
        <v>146</v>
      </c>
    </row>
    <row r="104" spans="1:3">
      <c r="A104" s="19" t="s">
        <v>10</v>
      </c>
      <c r="B104" s="1">
        <f t="shared" si="1"/>
        <v>61.5486</v>
      </c>
      <c r="C104" s="19" t="s">
        <v>147</v>
      </c>
    </row>
    <row r="105" spans="1:3">
      <c r="A105" s="19" t="s">
        <v>7</v>
      </c>
      <c r="B105" s="1">
        <f t="shared" si="1"/>
        <v>75.969369150358588</v>
      </c>
      <c r="C105" s="19" t="s">
        <v>148</v>
      </c>
    </row>
    <row r="106" spans="1:3">
      <c r="A106" s="19" t="s">
        <v>7</v>
      </c>
      <c r="B106" s="1">
        <f t="shared" si="1"/>
        <v>75.969369150358588</v>
      </c>
      <c r="C106" s="19" t="s">
        <v>149</v>
      </c>
    </row>
    <row r="107" spans="1:3">
      <c r="A107" s="19" t="s">
        <v>7</v>
      </c>
      <c r="B107" s="1">
        <f t="shared" si="1"/>
        <v>75.969369150358588</v>
      </c>
      <c r="C107" s="19" t="s">
        <v>150</v>
      </c>
    </row>
    <row r="108" spans="1:3">
      <c r="A108" s="19" t="s">
        <v>7</v>
      </c>
      <c r="B108" s="1">
        <f t="shared" si="1"/>
        <v>75.969369150358588</v>
      </c>
      <c r="C108" s="19" t="s">
        <v>151</v>
      </c>
    </row>
    <row r="109" spans="1:3">
      <c r="A109" s="19" t="s">
        <v>7</v>
      </c>
      <c r="B109" s="1">
        <f t="shared" si="1"/>
        <v>75.969369150358588</v>
      </c>
      <c r="C109" s="19" t="s">
        <v>152</v>
      </c>
    </row>
    <row r="110" spans="1:3">
      <c r="A110" s="19" t="s">
        <v>7</v>
      </c>
      <c r="B110" s="1">
        <f t="shared" si="1"/>
        <v>75.969369150358588</v>
      </c>
      <c r="C110" s="19" t="s">
        <v>153</v>
      </c>
    </row>
    <row r="111" spans="1:3">
      <c r="A111" s="19" t="s">
        <v>7</v>
      </c>
      <c r="B111" s="1">
        <f t="shared" si="1"/>
        <v>75.969369150358588</v>
      </c>
      <c r="C111" s="19" t="s">
        <v>154</v>
      </c>
    </row>
    <row r="112" spans="1:3">
      <c r="A112" s="19" t="s">
        <v>7</v>
      </c>
      <c r="B112" s="1">
        <f t="shared" si="1"/>
        <v>75.969369150358588</v>
      </c>
      <c r="C112" s="19" t="s">
        <v>155</v>
      </c>
    </row>
    <row r="113" spans="1:3">
      <c r="A113" s="19" t="s">
        <v>7</v>
      </c>
      <c r="B113" s="1">
        <f t="shared" si="1"/>
        <v>75.969369150358588</v>
      </c>
      <c r="C113" s="19" t="s">
        <v>156</v>
      </c>
    </row>
    <row r="114" spans="1:3">
      <c r="A114" s="19" t="s">
        <v>7</v>
      </c>
      <c r="B114" s="1">
        <f t="shared" si="1"/>
        <v>75.969369150358588</v>
      </c>
      <c r="C114" s="19" t="s">
        <v>157</v>
      </c>
    </row>
    <row r="115" spans="1:3">
      <c r="A115" s="19" t="s">
        <v>7</v>
      </c>
      <c r="B115" s="1">
        <f t="shared" si="1"/>
        <v>75.969369150358588</v>
      </c>
      <c r="C115" s="19" t="s">
        <v>158</v>
      </c>
    </row>
    <row r="116" spans="1:3">
      <c r="A116" s="19" t="s">
        <v>7</v>
      </c>
      <c r="B116" s="1">
        <f t="shared" si="1"/>
        <v>75.969369150358588</v>
      </c>
      <c r="C116" s="19" t="s">
        <v>159</v>
      </c>
    </row>
    <row r="117" spans="1:3">
      <c r="A117" s="19" t="s">
        <v>7</v>
      </c>
      <c r="B117" s="1">
        <f t="shared" si="1"/>
        <v>75.969369150358588</v>
      </c>
      <c r="C117" s="19" t="s">
        <v>160</v>
      </c>
    </row>
    <row r="118" spans="1:3">
      <c r="A118" s="19" t="s">
        <v>7</v>
      </c>
      <c r="B118" s="1">
        <f t="shared" si="1"/>
        <v>75.969369150358588</v>
      </c>
      <c r="C118" s="19" t="s">
        <v>161</v>
      </c>
    </row>
    <row r="119" spans="1:3">
      <c r="A119" s="19" t="s">
        <v>7</v>
      </c>
      <c r="B119" s="1">
        <f t="shared" si="1"/>
        <v>75.969369150358588</v>
      </c>
      <c r="C119" s="19" t="s">
        <v>162</v>
      </c>
    </row>
    <row r="120" spans="1:3">
      <c r="A120" s="19" t="s">
        <v>7</v>
      </c>
      <c r="B120" s="1">
        <f t="shared" si="1"/>
        <v>75.969369150358588</v>
      </c>
      <c r="C120" s="19" t="s">
        <v>163</v>
      </c>
    </row>
    <row r="121" spans="1:3">
      <c r="A121" s="19" t="s">
        <v>7</v>
      </c>
      <c r="B121" s="1">
        <f t="shared" si="1"/>
        <v>75.969369150358588</v>
      </c>
      <c r="C121" s="19" t="s">
        <v>164</v>
      </c>
    </row>
    <row r="122" spans="1:3">
      <c r="A122" s="19" t="s">
        <v>7</v>
      </c>
      <c r="B122" s="1">
        <f t="shared" si="1"/>
        <v>75.969369150358588</v>
      </c>
      <c r="C122" s="19" t="s">
        <v>165</v>
      </c>
    </row>
    <row r="123" spans="1:3">
      <c r="A123" s="19" t="s">
        <v>7</v>
      </c>
      <c r="B123" s="1">
        <f t="shared" si="1"/>
        <v>75.969369150358588</v>
      </c>
      <c r="C123" s="19" t="s">
        <v>166</v>
      </c>
    </row>
    <row r="124" spans="1:3">
      <c r="A124" s="19" t="s">
        <v>7</v>
      </c>
      <c r="B124" s="1">
        <f t="shared" si="1"/>
        <v>75.969369150358588</v>
      </c>
      <c r="C124" s="19" t="s">
        <v>167</v>
      </c>
    </row>
    <row r="125" spans="1:3">
      <c r="A125" s="19" t="s">
        <v>1</v>
      </c>
      <c r="B125" s="1">
        <f t="shared" si="1"/>
        <v>70.320999999999998</v>
      </c>
      <c r="C125" s="19" t="s">
        <v>168</v>
      </c>
    </row>
    <row r="126" spans="1:3">
      <c r="A126" s="19" t="s">
        <v>1</v>
      </c>
      <c r="B126" s="1">
        <f t="shared" si="1"/>
        <v>70.320999999999998</v>
      </c>
      <c r="C126" s="19" t="s">
        <v>169</v>
      </c>
    </row>
    <row r="127" spans="1:3">
      <c r="A127" s="19" t="s">
        <v>4</v>
      </c>
      <c r="B127" s="1">
        <f t="shared" si="1"/>
        <v>59.022818221524439</v>
      </c>
      <c r="C127" s="19" t="s">
        <v>170</v>
      </c>
    </row>
    <row r="128" spans="1:3">
      <c r="A128" s="19" t="s">
        <v>10</v>
      </c>
      <c r="B128" s="1">
        <f t="shared" si="1"/>
        <v>61.5486</v>
      </c>
      <c r="C128" s="19" t="s">
        <v>171</v>
      </c>
    </row>
    <row r="129" spans="1:3">
      <c r="A129" s="19" t="s">
        <v>10</v>
      </c>
      <c r="B129" s="1">
        <f t="shared" si="1"/>
        <v>61.5486</v>
      </c>
      <c r="C129" s="19" t="s">
        <v>172</v>
      </c>
    </row>
    <row r="130" spans="1:3">
      <c r="A130" s="19" t="s">
        <v>42</v>
      </c>
      <c r="B130" s="1">
        <f t="shared" ref="B130:B160" si="2">VLOOKUP(A130,$H$1:$I$15,2,FALSE)</f>
        <v>94.174350000000004</v>
      </c>
      <c r="C130" s="19" t="s">
        <v>173</v>
      </c>
    </row>
    <row r="131" spans="1:3">
      <c r="A131" s="19" t="s">
        <v>42</v>
      </c>
      <c r="B131" s="1">
        <f t="shared" si="2"/>
        <v>94.174350000000004</v>
      </c>
      <c r="C131" s="19" t="s">
        <v>174</v>
      </c>
    </row>
    <row r="132" spans="1:3">
      <c r="A132" s="19" t="s">
        <v>42</v>
      </c>
      <c r="B132" s="1">
        <f t="shared" si="2"/>
        <v>94.174350000000004</v>
      </c>
      <c r="C132" s="19" t="s">
        <v>175</v>
      </c>
    </row>
    <row r="133" spans="1:3">
      <c r="A133" s="19" t="s">
        <v>42</v>
      </c>
      <c r="B133" s="1">
        <f t="shared" si="2"/>
        <v>94.174350000000004</v>
      </c>
      <c r="C133" s="19" t="s">
        <v>176</v>
      </c>
    </row>
    <row r="134" spans="1:3">
      <c r="A134" s="19" t="s">
        <v>42</v>
      </c>
      <c r="B134" s="1">
        <f t="shared" si="2"/>
        <v>94.174350000000004</v>
      </c>
      <c r="C134" s="19" t="s">
        <v>177</v>
      </c>
    </row>
    <row r="135" spans="1:3">
      <c r="A135" s="19" t="s">
        <v>42</v>
      </c>
      <c r="B135" s="1">
        <f t="shared" si="2"/>
        <v>94.174350000000004</v>
      </c>
      <c r="C135" s="19" t="s">
        <v>178</v>
      </c>
    </row>
    <row r="136" spans="1:3">
      <c r="A136" s="19" t="s">
        <v>42</v>
      </c>
      <c r="B136" s="1">
        <f t="shared" si="2"/>
        <v>94.174350000000004</v>
      </c>
      <c r="C136" s="19" t="s">
        <v>179</v>
      </c>
    </row>
    <row r="137" spans="1:3">
      <c r="A137" s="19" t="s">
        <v>42</v>
      </c>
      <c r="B137" s="1">
        <f t="shared" si="2"/>
        <v>94.174350000000004</v>
      </c>
      <c r="C137" s="19" t="s">
        <v>180</v>
      </c>
    </row>
    <row r="138" spans="1:3">
      <c r="A138" s="19" t="s">
        <v>42</v>
      </c>
      <c r="B138" s="1">
        <f t="shared" si="2"/>
        <v>94.174350000000004</v>
      </c>
      <c r="C138" s="19" t="s">
        <v>181</v>
      </c>
    </row>
    <row r="139" spans="1:3">
      <c r="A139" s="19" t="s">
        <v>42</v>
      </c>
      <c r="B139" s="1">
        <f t="shared" si="2"/>
        <v>94.174350000000004</v>
      </c>
      <c r="C139" s="19" t="s">
        <v>182</v>
      </c>
    </row>
    <row r="140" spans="1:3">
      <c r="A140" s="19" t="s">
        <v>42</v>
      </c>
      <c r="B140" s="1">
        <f t="shared" si="2"/>
        <v>94.174350000000004</v>
      </c>
      <c r="C140" s="19" t="s">
        <v>183</v>
      </c>
    </row>
    <row r="141" spans="1:3">
      <c r="A141" s="19" t="s">
        <v>42</v>
      </c>
      <c r="B141" s="1">
        <f t="shared" si="2"/>
        <v>94.174350000000004</v>
      </c>
      <c r="C141" s="19" t="s">
        <v>184</v>
      </c>
    </row>
    <row r="142" spans="1:3">
      <c r="A142" s="19" t="s">
        <v>42</v>
      </c>
      <c r="B142" s="1">
        <f t="shared" si="2"/>
        <v>94.174350000000004</v>
      </c>
      <c r="C142" s="19" t="s">
        <v>185</v>
      </c>
    </row>
    <row r="143" spans="1:3">
      <c r="A143" s="19" t="s">
        <v>42</v>
      </c>
      <c r="B143" s="1">
        <f t="shared" si="2"/>
        <v>94.174350000000004</v>
      </c>
      <c r="C143" s="19" t="s">
        <v>186</v>
      </c>
    </row>
    <row r="144" spans="1:3">
      <c r="A144" s="19" t="s">
        <v>42</v>
      </c>
      <c r="B144" s="1">
        <f t="shared" si="2"/>
        <v>94.174350000000004</v>
      </c>
      <c r="C144" s="19" t="s">
        <v>187</v>
      </c>
    </row>
    <row r="145" spans="1:3">
      <c r="A145" s="19" t="s">
        <v>42</v>
      </c>
      <c r="B145" s="1">
        <f t="shared" si="2"/>
        <v>94.174350000000004</v>
      </c>
      <c r="C145" s="19" t="s">
        <v>188</v>
      </c>
    </row>
    <row r="146" spans="1:3">
      <c r="A146" s="19" t="s">
        <v>42</v>
      </c>
      <c r="B146" s="1">
        <f t="shared" si="2"/>
        <v>94.174350000000004</v>
      </c>
      <c r="C146" s="19" t="s">
        <v>189</v>
      </c>
    </row>
    <row r="147" spans="1:3">
      <c r="A147" s="19" t="s">
        <v>42</v>
      </c>
      <c r="B147" s="1">
        <f t="shared" si="2"/>
        <v>94.174350000000004</v>
      </c>
      <c r="C147" s="19" t="s">
        <v>190</v>
      </c>
    </row>
    <row r="148" spans="1:3">
      <c r="A148" s="19" t="s">
        <v>42</v>
      </c>
      <c r="B148" s="1">
        <f t="shared" si="2"/>
        <v>94.174350000000004</v>
      </c>
      <c r="C148" s="19" t="s">
        <v>191</v>
      </c>
    </row>
    <row r="149" spans="1:3">
      <c r="A149" s="19" t="s">
        <v>42</v>
      </c>
      <c r="B149" s="1">
        <f t="shared" si="2"/>
        <v>94.174350000000004</v>
      </c>
      <c r="C149" s="19" t="s">
        <v>192</v>
      </c>
    </row>
    <row r="150" spans="1:3">
      <c r="A150" s="19" t="s">
        <v>42</v>
      </c>
      <c r="B150" s="1">
        <f t="shared" si="2"/>
        <v>94.174350000000004</v>
      </c>
      <c r="C150" s="19" t="s">
        <v>193</v>
      </c>
    </row>
    <row r="151" spans="1:3">
      <c r="A151" s="19" t="s">
        <v>42</v>
      </c>
      <c r="B151" s="1">
        <f t="shared" si="2"/>
        <v>94.174350000000004</v>
      </c>
      <c r="C151" s="19" t="s">
        <v>194</v>
      </c>
    </row>
    <row r="152" spans="1:3">
      <c r="A152" s="19" t="s">
        <v>42</v>
      </c>
      <c r="B152" s="1">
        <f t="shared" si="2"/>
        <v>94.174350000000004</v>
      </c>
      <c r="C152" s="19" t="s">
        <v>195</v>
      </c>
    </row>
    <row r="153" spans="1:3">
      <c r="A153" s="19" t="s">
        <v>42</v>
      </c>
      <c r="B153" s="1">
        <f t="shared" si="2"/>
        <v>94.174350000000004</v>
      </c>
      <c r="C153" s="19" t="s">
        <v>196</v>
      </c>
    </row>
    <row r="154" spans="1:3">
      <c r="A154" s="19" t="s">
        <v>42</v>
      </c>
      <c r="B154" s="1">
        <f t="shared" si="2"/>
        <v>94.174350000000004</v>
      </c>
      <c r="C154" s="19" t="s">
        <v>197</v>
      </c>
    </row>
    <row r="155" spans="1:3">
      <c r="A155" s="19" t="s">
        <v>42</v>
      </c>
      <c r="B155" s="1">
        <f t="shared" si="2"/>
        <v>94.174350000000004</v>
      </c>
      <c r="C155" s="19" t="s">
        <v>198</v>
      </c>
    </row>
    <row r="156" spans="1:3">
      <c r="A156" s="19" t="s">
        <v>42</v>
      </c>
      <c r="B156" s="1">
        <f t="shared" si="2"/>
        <v>94.174350000000004</v>
      </c>
      <c r="C156" s="19" t="s">
        <v>199</v>
      </c>
    </row>
    <row r="157" spans="1:3">
      <c r="A157" s="19" t="s">
        <v>42</v>
      </c>
      <c r="B157" s="1">
        <f t="shared" si="2"/>
        <v>94.174350000000004</v>
      </c>
      <c r="C157" s="19" t="s">
        <v>200</v>
      </c>
    </row>
    <row r="158" spans="1:3">
      <c r="A158" s="19" t="s">
        <v>42</v>
      </c>
      <c r="B158" s="1">
        <f t="shared" si="2"/>
        <v>94.174350000000004</v>
      </c>
      <c r="C158" s="19" t="s">
        <v>201</v>
      </c>
    </row>
    <row r="159" spans="1:3">
      <c r="A159" s="19" t="s">
        <v>42</v>
      </c>
      <c r="B159" s="1">
        <f t="shared" si="2"/>
        <v>94.174350000000004</v>
      </c>
      <c r="C159" s="19" t="s">
        <v>202</v>
      </c>
    </row>
    <row r="160" spans="1:3">
      <c r="A160" s="19" t="s">
        <v>9</v>
      </c>
      <c r="B160" s="1">
        <f t="shared" si="2"/>
        <v>85.037199999999999</v>
      </c>
      <c r="C160" s="19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DC3C-987E-4CC8-A6AB-D64D94BF9C35}">
  <dimension ref="A1:D361"/>
  <sheetViews>
    <sheetView tabSelected="1" topLeftCell="A34" workbookViewId="0">
      <selection activeCell="D40" sqref="D40"/>
    </sheetView>
  </sheetViews>
  <sheetFormatPr defaultRowHeight="14.5"/>
  <cols>
    <col min="1" max="1" width="11.7265625" bestFit="1" customWidth="1"/>
  </cols>
  <sheetData>
    <row r="1" spans="1:4">
      <c r="A1" t="s">
        <v>204</v>
      </c>
      <c r="B1" t="s">
        <v>205</v>
      </c>
      <c r="C1" t="s">
        <v>206</v>
      </c>
      <c r="D1" t="s">
        <v>207</v>
      </c>
    </row>
    <row r="2" spans="1:4">
      <c r="A2" t="s">
        <v>67</v>
      </c>
      <c r="B2" t="s">
        <v>210</v>
      </c>
      <c r="C2" t="s">
        <v>211</v>
      </c>
      <c r="D2" t="b">
        <v>0</v>
      </c>
    </row>
    <row r="3" spans="1:4">
      <c r="A3" t="s">
        <v>67</v>
      </c>
      <c r="B3" t="s">
        <v>208</v>
      </c>
      <c r="C3" t="s">
        <v>209</v>
      </c>
      <c r="D3" t="b">
        <v>1</v>
      </c>
    </row>
    <row r="4" spans="1:4">
      <c r="A4" t="s">
        <v>152</v>
      </c>
      <c r="B4" t="s">
        <v>210</v>
      </c>
      <c r="C4" t="s">
        <v>211</v>
      </c>
      <c r="D4" t="b">
        <v>0</v>
      </c>
    </row>
    <row r="5" spans="1:4">
      <c r="A5" t="s">
        <v>152</v>
      </c>
      <c r="B5" t="s">
        <v>208</v>
      </c>
      <c r="C5" t="s">
        <v>209</v>
      </c>
      <c r="D5" t="b">
        <v>0</v>
      </c>
    </row>
    <row r="6" spans="1:4">
      <c r="A6" t="s">
        <v>152</v>
      </c>
      <c r="B6" t="s">
        <v>212</v>
      </c>
      <c r="C6" t="s">
        <v>209</v>
      </c>
      <c r="D6" t="b">
        <v>1</v>
      </c>
    </row>
    <row r="7" spans="1:4">
      <c r="A7" t="s">
        <v>152</v>
      </c>
      <c r="B7" t="s">
        <v>213</v>
      </c>
      <c r="C7" t="s">
        <v>209</v>
      </c>
      <c r="D7" t="b">
        <v>0</v>
      </c>
    </row>
    <row r="8" spans="1:4">
      <c r="A8" t="s">
        <v>148</v>
      </c>
      <c r="B8" t="s">
        <v>210</v>
      </c>
      <c r="C8" t="s">
        <v>211</v>
      </c>
      <c r="D8" t="b">
        <v>0</v>
      </c>
    </row>
    <row r="9" spans="1:4">
      <c r="A9" t="s">
        <v>148</v>
      </c>
      <c r="B9" t="s">
        <v>208</v>
      </c>
      <c r="C9" t="s">
        <v>209</v>
      </c>
      <c r="D9" t="b">
        <v>0</v>
      </c>
    </row>
    <row r="10" spans="1:4">
      <c r="A10" t="s">
        <v>148</v>
      </c>
      <c r="B10" t="s">
        <v>212</v>
      </c>
      <c r="C10" t="s">
        <v>209</v>
      </c>
      <c r="D10" t="b">
        <v>1</v>
      </c>
    </row>
    <row r="11" spans="1:4">
      <c r="A11" t="s">
        <v>148</v>
      </c>
      <c r="B11" t="s">
        <v>213</v>
      </c>
      <c r="C11" t="s">
        <v>209</v>
      </c>
      <c r="D11" t="b">
        <v>0</v>
      </c>
    </row>
    <row r="12" spans="1:4">
      <c r="A12" t="s">
        <v>173</v>
      </c>
      <c r="B12" t="s">
        <v>208</v>
      </c>
      <c r="C12" t="s">
        <v>209</v>
      </c>
      <c r="D12" t="b">
        <v>0</v>
      </c>
    </row>
    <row r="13" spans="1:4">
      <c r="A13" t="s">
        <v>173</v>
      </c>
      <c r="B13" t="s">
        <v>213</v>
      </c>
      <c r="C13" t="s">
        <v>209</v>
      </c>
      <c r="D13" t="b">
        <v>0</v>
      </c>
    </row>
    <row r="14" spans="1:4">
      <c r="A14" t="s">
        <v>173</v>
      </c>
      <c r="B14" t="s">
        <v>212</v>
      </c>
      <c r="C14" t="s">
        <v>209</v>
      </c>
      <c r="D14" t="b">
        <v>1</v>
      </c>
    </row>
    <row r="15" spans="1:4">
      <c r="A15" t="s">
        <v>173</v>
      </c>
      <c r="B15" t="s">
        <v>214</v>
      </c>
      <c r="C15" t="s">
        <v>211</v>
      </c>
      <c r="D15" t="b">
        <v>0</v>
      </c>
    </row>
    <row r="16" spans="1:4">
      <c r="A16" t="s">
        <v>173</v>
      </c>
      <c r="B16" t="s">
        <v>215</v>
      </c>
      <c r="C16" t="s">
        <v>211</v>
      </c>
      <c r="D16" t="b">
        <v>0</v>
      </c>
    </row>
    <row r="17" spans="1:4">
      <c r="A17" t="s">
        <v>216</v>
      </c>
      <c r="B17" t="s">
        <v>208</v>
      </c>
      <c r="C17" t="s">
        <v>209</v>
      </c>
      <c r="D17" t="b">
        <v>1</v>
      </c>
    </row>
    <row r="18" spans="1:4">
      <c r="A18" t="s">
        <v>149</v>
      </c>
      <c r="B18" t="s">
        <v>210</v>
      </c>
      <c r="C18" t="s">
        <v>211</v>
      </c>
      <c r="D18" t="b">
        <v>0</v>
      </c>
    </row>
    <row r="19" spans="1:4">
      <c r="A19" t="s">
        <v>149</v>
      </c>
      <c r="B19" t="s">
        <v>208</v>
      </c>
      <c r="C19" t="s">
        <v>209</v>
      </c>
      <c r="D19" t="b">
        <v>0</v>
      </c>
    </row>
    <row r="20" spans="1:4">
      <c r="A20" t="s">
        <v>149</v>
      </c>
      <c r="B20" t="s">
        <v>212</v>
      </c>
      <c r="C20" t="s">
        <v>209</v>
      </c>
      <c r="D20" t="b">
        <v>1</v>
      </c>
    </row>
    <row r="21" spans="1:4">
      <c r="A21" t="s">
        <v>149</v>
      </c>
      <c r="B21" t="s">
        <v>213</v>
      </c>
      <c r="C21" t="s">
        <v>209</v>
      </c>
      <c r="D21" t="b">
        <v>0</v>
      </c>
    </row>
    <row r="22" spans="1:4">
      <c r="A22" t="s">
        <v>150</v>
      </c>
      <c r="B22" t="s">
        <v>210</v>
      </c>
      <c r="C22" t="s">
        <v>211</v>
      </c>
      <c r="D22" t="b">
        <v>0</v>
      </c>
    </row>
    <row r="23" spans="1:4">
      <c r="A23" t="s">
        <v>150</v>
      </c>
      <c r="B23" t="s">
        <v>208</v>
      </c>
      <c r="C23" t="s">
        <v>209</v>
      </c>
      <c r="D23" t="b">
        <v>0</v>
      </c>
    </row>
    <row r="24" spans="1:4">
      <c r="A24" t="s">
        <v>150</v>
      </c>
      <c r="B24" t="s">
        <v>212</v>
      </c>
      <c r="C24" t="s">
        <v>209</v>
      </c>
      <c r="D24" t="b">
        <v>1</v>
      </c>
    </row>
    <row r="25" spans="1:4">
      <c r="A25" t="s">
        <v>150</v>
      </c>
      <c r="B25" t="s">
        <v>213</v>
      </c>
      <c r="C25" t="s">
        <v>209</v>
      </c>
      <c r="D25" t="b">
        <v>0</v>
      </c>
    </row>
    <row r="26" spans="1:4">
      <c r="A26" t="s">
        <v>151</v>
      </c>
      <c r="B26" t="s">
        <v>210</v>
      </c>
      <c r="C26" t="s">
        <v>211</v>
      </c>
      <c r="D26" t="b">
        <v>0</v>
      </c>
    </row>
    <row r="27" spans="1:4">
      <c r="A27" t="s">
        <v>151</v>
      </c>
      <c r="B27" t="s">
        <v>208</v>
      </c>
      <c r="C27" t="s">
        <v>209</v>
      </c>
      <c r="D27" t="b">
        <v>0</v>
      </c>
    </row>
    <row r="28" spans="1:4">
      <c r="A28" t="s">
        <v>151</v>
      </c>
      <c r="B28" t="s">
        <v>212</v>
      </c>
      <c r="C28" t="s">
        <v>209</v>
      </c>
      <c r="D28" t="b">
        <v>1</v>
      </c>
    </row>
    <row r="29" spans="1:4">
      <c r="A29" t="s">
        <v>151</v>
      </c>
      <c r="B29" t="s">
        <v>213</v>
      </c>
      <c r="C29" t="s">
        <v>209</v>
      </c>
      <c r="D29" t="b">
        <v>0</v>
      </c>
    </row>
    <row r="30" spans="1:4">
      <c r="A30" t="s">
        <v>146</v>
      </c>
      <c r="B30" t="s">
        <v>214</v>
      </c>
      <c r="C30" t="s">
        <v>211</v>
      </c>
      <c r="D30" t="b">
        <v>1</v>
      </c>
    </row>
    <row r="31" spans="1:4">
      <c r="A31" t="s">
        <v>146</v>
      </c>
      <c r="B31" t="s">
        <v>213</v>
      </c>
      <c r="C31" t="s">
        <v>209</v>
      </c>
      <c r="D31" t="b">
        <v>0</v>
      </c>
    </row>
    <row r="32" spans="1:4">
      <c r="A32" t="s">
        <v>146</v>
      </c>
      <c r="B32" t="s">
        <v>212</v>
      </c>
      <c r="C32" t="s">
        <v>209</v>
      </c>
      <c r="D32" t="b">
        <v>0</v>
      </c>
    </row>
    <row r="33" spans="1:4">
      <c r="A33" t="s">
        <v>107</v>
      </c>
      <c r="B33" t="s">
        <v>210</v>
      </c>
      <c r="C33" t="s">
        <v>211</v>
      </c>
      <c r="D33" t="b">
        <v>0</v>
      </c>
    </row>
    <row r="34" spans="1:4">
      <c r="A34" t="s">
        <v>107</v>
      </c>
      <c r="B34" t="s">
        <v>213</v>
      </c>
      <c r="C34" t="s">
        <v>209</v>
      </c>
      <c r="D34" t="b">
        <v>0</v>
      </c>
    </row>
    <row r="35" spans="1:4">
      <c r="A35" t="s">
        <v>107</v>
      </c>
      <c r="B35" t="s">
        <v>212</v>
      </c>
      <c r="C35" t="s">
        <v>209</v>
      </c>
      <c r="D35" t="b">
        <v>0</v>
      </c>
    </row>
    <row r="36" spans="1:4">
      <c r="A36" t="s">
        <v>68</v>
      </c>
      <c r="B36" t="s">
        <v>210</v>
      </c>
      <c r="C36" t="s">
        <v>211</v>
      </c>
      <c r="D36" t="b">
        <v>0</v>
      </c>
    </row>
    <row r="37" spans="1:4">
      <c r="A37" t="s">
        <v>68</v>
      </c>
      <c r="B37" t="s">
        <v>208</v>
      </c>
      <c r="C37" t="s">
        <v>209</v>
      </c>
      <c r="D37" t="b">
        <v>1</v>
      </c>
    </row>
    <row r="38" spans="1:4">
      <c r="A38" t="s">
        <v>69</v>
      </c>
      <c r="B38" t="s">
        <v>208</v>
      </c>
      <c r="C38" t="s">
        <v>209</v>
      </c>
      <c r="D38" t="b">
        <v>1</v>
      </c>
    </row>
    <row r="39" spans="1:4">
      <c r="A39" t="s">
        <v>69</v>
      </c>
      <c r="B39" t="s">
        <v>212</v>
      </c>
      <c r="C39" t="s">
        <v>209</v>
      </c>
      <c r="D39" t="b">
        <v>0</v>
      </c>
    </row>
    <row r="40" spans="1:4">
      <c r="A40" t="s">
        <v>131</v>
      </c>
      <c r="B40" t="s">
        <v>210</v>
      </c>
      <c r="C40" t="s">
        <v>211</v>
      </c>
      <c r="D40" t="b">
        <v>0</v>
      </c>
    </row>
    <row r="41" spans="1:4">
      <c r="A41" t="s">
        <v>131</v>
      </c>
      <c r="B41" t="s">
        <v>208</v>
      </c>
      <c r="C41" t="s">
        <v>209</v>
      </c>
      <c r="D41" t="b">
        <v>1</v>
      </c>
    </row>
    <row r="42" spans="1:4">
      <c r="A42" t="s">
        <v>153</v>
      </c>
      <c r="B42" t="s">
        <v>210</v>
      </c>
      <c r="C42" t="s">
        <v>211</v>
      </c>
      <c r="D42" t="b">
        <v>1</v>
      </c>
    </row>
    <row r="43" spans="1:4">
      <c r="A43" t="s">
        <v>111</v>
      </c>
      <c r="B43" t="s">
        <v>210</v>
      </c>
      <c r="C43" t="s">
        <v>211</v>
      </c>
      <c r="D43" t="b">
        <v>0</v>
      </c>
    </row>
    <row r="44" spans="1:4">
      <c r="A44" t="s">
        <v>111</v>
      </c>
      <c r="B44" t="s">
        <v>208</v>
      </c>
      <c r="C44" t="s">
        <v>209</v>
      </c>
      <c r="D44" t="b">
        <v>0</v>
      </c>
    </row>
    <row r="45" spans="1:4">
      <c r="A45" t="s">
        <v>116</v>
      </c>
      <c r="B45" t="s">
        <v>210</v>
      </c>
      <c r="C45" t="s">
        <v>211</v>
      </c>
      <c r="D45" t="b">
        <v>0</v>
      </c>
    </row>
    <row r="46" spans="1:4">
      <c r="A46" t="s">
        <v>116</v>
      </c>
      <c r="B46" t="s">
        <v>208</v>
      </c>
      <c r="C46" t="s">
        <v>209</v>
      </c>
      <c r="D46" t="b">
        <v>0</v>
      </c>
    </row>
    <row r="47" spans="1:4">
      <c r="A47" t="s">
        <v>66</v>
      </c>
      <c r="B47" t="s">
        <v>214</v>
      </c>
      <c r="C47" t="s">
        <v>211</v>
      </c>
      <c r="D47" t="b">
        <v>1</v>
      </c>
    </row>
    <row r="48" spans="1:4">
      <c r="A48" t="s">
        <v>154</v>
      </c>
      <c r="B48" t="s">
        <v>210</v>
      </c>
      <c r="C48" t="s">
        <v>211</v>
      </c>
      <c r="D48" t="b">
        <v>1</v>
      </c>
    </row>
    <row r="49" spans="1:4">
      <c r="A49" t="s">
        <v>112</v>
      </c>
      <c r="B49" t="s">
        <v>210</v>
      </c>
      <c r="C49" t="s">
        <v>211</v>
      </c>
      <c r="D49" t="b">
        <v>0</v>
      </c>
    </row>
    <row r="50" spans="1:4">
      <c r="A50" t="s">
        <v>112</v>
      </c>
      <c r="B50" t="s">
        <v>208</v>
      </c>
      <c r="C50" t="s">
        <v>209</v>
      </c>
      <c r="D50" t="b">
        <v>0</v>
      </c>
    </row>
    <row r="51" spans="1:4">
      <c r="A51" t="s">
        <v>117</v>
      </c>
      <c r="B51" t="s">
        <v>210</v>
      </c>
      <c r="C51" t="s">
        <v>211</v>
      </c>
      <c r="D51" t="b">
        <v>0</v>
      </c>
    </row>
    <row r="52" spans="1:4">
      <c r="A52" t="s">
        <v>117</v>
      </c>
      <c r="B52" t="s">
        <v>208</v>
      </c>
      <c r="C52" t="s">
        <v>209</v>
      </c>
      <c r="D52" t="b">
        <v>0</v>
      </c>
    </row>
    <row r="53" spans="1:4">
      <c r="A53" t="s">
        <v>60</v>
      </c>
      <c r="B53" t="s">
        <v>210</v>
      </c>
      <c r="C53" t="s">
        <v>211</v>
      </c>
      <c r="D53" t="b">
        <v>1</v>
      </c>
    </row>
    <row r="54" spans="1:4">
      <c r="A54" t="s">
        <v>217</v>
      </c>
      <c r="B54" t="s">
        <v>208</v>
      </c>
      <c r="C54" t="s">
        <v>209</v>
      </c>
      <c r="D54" t="b">
        <v>0</v>
      </c>
    </row>
    <row r="55" spans="1:4">
      <c r="A55" t="s">
        <v>217</v>
      </c>
      <c r="B55" t="s">
        <v>213</v>
      </c>
      <c r="C55" t="s">
        <v>209</v>
      </c>
      <c r="D55" t="b">
        <v>0</v>
      </c>
    </row>
    <row r="56" spans="1:4">
      <c r="A56" t="s">
        <v>217</v>
      </c>
      <c r="B56" t="s">
        <v>212</v>
      </c>
      <c r="C56" t="s">
        <v>209</v>
      </c>
      <c r="D56" t="b">
        <v>1</v>
      </c>
    </row>
    <row r="57" spans="1:4">
      <c r="A57" t="s">
        <v>218</v>
      </c>
      <c r="B57" t="s">
        <v>214</v>
      </c>
      <c r="C57" t="s">
        <v>211</v>
      </c>
      <c r="D57" t="b">
        <v>0</v>
      </c>
    </row>
    <row r="58" spans="1:4">
      <c r="A58" t="s">
        <v>218</v>
      </c>
      <c r="B58" t="s">
        <v>215</v>
      </c>
      <c r="C58" t="s">
        <v>211</v>
      </c>
      <c r="D58" t="b">
        <v>0</v>
      </c>
    </row>
    <row r="59" spans="1:4">
      <c r="A59" t="s">
        <v>218</v>
      </c>
      <c r="B59" t="s">
        <v>208</v>
      </c>
      <c r="C59" t="s">
        <v>209</v>
      </c>
      <c r="D59" t="b">
        <v>0</v>
      </c>
    </row>
    <row r="60" spans="1:4">
      <c r="A60" t="s">
        <v>218</v>
      </c>
      <c r="B60" t="s">
        <v>213</v>
      </c>
      <c r="C60" t="s">
        <v>209</v>
      </c>
      <c r="D60" t="b">
        <v>0</v>
      </c>
    </row>
    <row r="61" spans="1:4">
      <c r="A61" t="s">
        <v>218</v>
      </c>
      <c r="B61" t="s">
        <v>212</v>
      </c>
      <c r="C61" t="s">
        <v>209</v>
      </c>
      <c r="D61" t="b">
        <v>1</v>
      </c>
    </row>
    <row r="62" spans="1:4">
      <c r="A62" t="s">
        <v>219</v>
      </c>
      <c r="B62" t="s">
        <v>208</v>
      </c>
      <c r="C62" t="s">
        <v>209</v>
      </c>
      <c r="D62" t="b">
        <v>0</v>
      </c>
    </row>
    <row r="63" spans="1:4">
      <c r="A63" t="s">
        <v>219</v>
      </c>
      <c r="B63" t="s">
        <v>213</v>
      </c>
      <c r="C63" t="s">
        <v>209</v>
      </c>
      <c r="D63" t="b">
        <v>0</v>
      </c>
    </row>
    <row r="64" spans="1:4">
      <c r="A64" t="s">
        <v>219</v>
      </c>
      <c r="B64" t="s">
        <v>212</v>
      </c>
      <c r="C64" t="s">
        <v>209</v>
      </c>
      <c r="D64" t="b">
        <v>1</v>
      </c>
    </row>
    <row r="65" spans="1:4">
      <c r="A65" t="s">
        <v>220</v>
      </c>
      <c r="B65" t="s">
        <v>208</v>
      </c>
      <c r="C65" t="s">
        <v>209</v>
      </c>
      <c r="D65" t="b">
        <v>0</v>
      </c>
    </row>
    <row r="66" spans="1:4">
      <c r="A66" t="s">
        <v>220</v>
      </c>
      <c r="B66" t="s">
        <v>213</v>
      </c>
      <c r="C66" t="s">
        <v>209</v>
      </c>
      <c r="D66" t="b">
        <v>0</v>
      </c>
    </row>
    <row r="67" spans="1:4">
      <c r="A67" t="s">
        <v>220</v>
      </c>
      <c r="B67" t="s">
        <v>212</v>
      </c>
      <c r="C67" t="s">
        <v>209</v>
      </c>
      <c r="D67" t="b">
        <v>1</v>
      </c>
    </row>
    <row r="68" spans="1:4">
      <c r="A68" t="s">
        <v>221</v>
      </c>
      <c r="B68" t="s">
        <v>208</v>
      </c>
      <c r="C68" t="s">
        <v>209</v>
      </c>
      <c r="D68" t="b">
        <v>0</v>
      </c>
    </row>
    <row r="69" spans="1:4">
      <c r="A69" t="s">
        <v>221</v>
      </c>
      <c r="B69" t="s">
        <v>213</v>
      </c>
      <c r="C69" t="s">
        <v>209</v>
      </c>
      <c r="D69" t="b">
        <v>0</v>
      </c>
    </row>
    <row r="70" spans="1:4">
      <c r="A70" t="s">
        <v>221</v>
      </c>
      <c r="B70" t="s">
        <v>212</v>
      </c>
      <c r="C70" t="s">
        <v>209</v>
      </c>
      <c r="D70" t="b">
        <v>1</v>
      </c>
    </row>
    <row r="71" spans="1:4">
      <c r="A71" t="s">
        <v>222</v>
      </c>
      <c r="B71" t="s">
        <v>213</v>
      </c>
      <c r="C71" t="s">
        <v>209</v>
      </c>
      <c r="D71" t="b">
        <v>0</v>
      </c>
    </row>
    <row r="72" spans="1:4">
      <c r="A72" t="s">
        <v>222</v>
      </c>
      <c r="B72" t="s">
        <v>212</v>
      </c>
      <c r="C72" t="s">
        <v>209</v>
      </c>
      <c r="D72" t="b">
        <v>1</v>
      </c>
    </row>
    <row r="73" spans="1:4">
      <c r="A73" t="s">
        <v>223</v>
      </c>
      <c r="B73" t="s">
        <v>208</v>
      </c>
      <c r="C73" t="s">
        <v>209</v>
      </c>
      <c r="D73" t="b">
        <v>0</v>
      </c>
    </row>
    <row r="74" spans="1:4">
      <c r="A74" t="s">
        <v>223</v>
      </c>
      <c r="B74" t="s">
        <v>213</v>
      </c>
      <c r="C74" t="s">
        <v>209</v>
      </c>
      <c r="D74" t="b">
        <v>0</v>
      </c>
    </row>
    <row r="75" spans="1:4">
      <c r="A75" t="s">
        <v>223</v>
      </c>
      <c r="B75" t="s">
        <v>212</v>
      </c>
      <c r="C75" t="s">
        <v>209</v>
      </c>
      <c r="D75" t="b">
        <v>1</v>
      </c>
    </row>
    <row r="76" spans="1:4">
      <c r="A76" t="s">
        <v>224</v>
      </c>
      <c r="B76" t="s">
        <v>214</v>
      </c>
      <c r="C76" t="s">
        <v>211</v>
      </c>
      <c r="D76" t="b">
        <v>0</v>
      </c>
    </row>
    <row r="77" spans="1:4">
      <c r="A77" t="s">
        <v>224</v>
      </c>
      <c r="B77" t="s">
        <v>215</v>
      </c>
      <c r="C77" t="s">
        <v>211</v>
      </c>
      <c r="D77" t="b">
        <v>0</v>
      </c>
    </row>
    <row r="78" spans="1:4">
      <c r="A78" t="s">
        <v>224</v>
      </c>
      <c r="B78" t="s">
        <v>208</v>
      </c>
      <c r="C78" t="s">
        <v>209</v>
      </c>
      <c r="D78" t="b">
        <v>0</v>
      </c>
    </row>
    <row r="79" spans="1:4">
      <c r="A79" t="s">
        <v>224</v>
      </c>
      <c r="B79" t="s">
        <v>213</v>
      </c>
      <c r="C79" t="s">
        <v>209</v>
      </c>
      <c r="D79" t="b">
        <v>0</v>
      </c>
    </row>
    <row r="80" spans="1:4">
      <c r="A80" t="s">
        <v>224</v>
      </c>
      <c r="B80" t="s">
        <v>212</v>
      </c>
      <c r="C80" t="s">
        <v>209</v>
      </c>
      <c r="D80" t="b">
        <v>1</v>
      </c>
    </row>
    <row r="81" spans="1:4">
      <c r="A81" t="s">
        <v>225</v>
      </c>
      <c r="B81" t="s">
        <v>214</v>
      </c>
      <c r="C81" t="s">
        <v>211</v>
      </c>
      <c r="D81" t="b">
        <v>0</v>
      </c>
    </row>
    <row r="82" spans="1:4">
      <c r="A82" t="s">
        <v>225</v>
      </c>
      <c r="B82" t="s">
        <v>215</v>
      </c>
      <c r="C82" t="s">
        <v>211</v>
      </c>
      <c r="D82" t="b">
        <v>0</v>
      </c>
    </row>
    <row r="83" spans="1:4">
      <c r="A83" t="s">
        <v>226</v>
      </c>
      <c r="B83" t="s">
        <v>214</v>
      </c>
      <c r="C83" t="s">
        <v>211</v>
      </c>
      <c r="D83" t="b">
        <v>0</v>
      </c>
    </row>
    <row r="84" spans="1:4">
      <c r="A84" t="s">
        <v>226</v>
      </c>
      <c r="B84" t="s">
        <v>215</v>
      </c>
      <c r="C84" t="s">
        <v>211</v>
      </c>
      <c r="D84" t="b">
        <v>0</v>
      </c>
    </row>
    <row r="85" spans="1:4">
      <c r="A85" t="s">
        <v>227</v>
      </c>
      <c r="B85" t="s">
        <v>214</v>
      </c>
      <c r="C85" t="s">
        <v>211</v>
      </c>
      <c r="D85" t="b">
        <v>0</v>
      </c>
    </row>
    <row r="86" spans="1:4">
      <c r="A86" t="s">
        <v>227</v>
      </c>
      <c r="B86" t="s">
        <v>215</v>
      </c>
      <c r="C86" t="s">
        <v>211</v>
      </c>
      <c r="D86" t="b">
        <v>0</v>
      </c>
    </row>
    <row r="87" spans="1:4">
      <c r="A87" t="s">
        <v>227</v>
      </c>
      <c r="B87" t="s">
        <v>228</v>
      </c>
      <c r="C87" t="s">
        <v>211</v>
      </c>
      <c r="D87" t="b">
        <v>0</v>
      </c>
    </row>
    <row r="88" spans="1:4">
      <c r="A88" t="s">
        <v>227</v>
      </c>
      <c r="B88" t="s">
        <v>208</v>
      </c>
      <c r="C88" t="s">
        <v>209</v>
      </c>
      <c r="D88" t="b">
        <v>0</v>
      </c>
    </row>
    <row r="89" spans="1:4">
      <c r="A89" t="s">
        <v>227</v>
      </c>
      <c r="B89" t="s">
        <v>213</v>
      </c>
      <c r="C89" t="s">
        <v>209</v>
      </c>
      <c r="D89" t="b">
        <v>0</v>
      </c>
    </row>
    <row r="90" spans="1:4">
      <c r="A90" t="s">
        <v>227</v>
      </c>
      <c r="B90" t="s">
        <v>212</v>
      </c>
      <c r="C90" t="s">
        <v>209</v>
      </c>
      <c r="D90" t="b">
        <v>1</v>
      </c>
    </row>
    <row r="91" spans="1:4">
      <c r="A91" t="s">
        <v>229</v>
      </c>
      <c r="B91" t="s">
        <v>208</v>
      </c>
      <c r="C91" t="s">
        <v>209</v>
      </c>
      <c r="D91" t="b">
        <v>0</v>
      </c>
    </row>
    <row r="92" spans="1:4">
      <c r="A92" t="s">
        <v>229</v>
      </c>
      <c r="B92" t="s">
        <v>213</v>
      </c>
      <c r="C92" t="s">
        <v>209</v>
      </c>
      <c r="D92" t="b">
        <v>0</v>
      </c>
    </row>
    <row r="93" spans="1:4">
      <c r="A93" t="s">
        <v>229</v>
      </c>
      <c r="B93" t="s">
        <v>212</v>
      </c>
      <c r="C93" t="s">
        <v>209</v>
      </c>
      <c r="D93" t="b">
        <v>1</v>
      </c>
    </row>
    <row r="94" spans="1:4">
      <c r="A94" t="s">
        <v>230</v>
      </c>
      <c r="B94" t="s">
        <v>214</v>
      </c>
      <c r="C94" t="s">
        <v>211</v>
      </c>
      <c r="D94" t="b">
        <v>0</v>
      </c>
    </row>
    <row r="95" spans="1:4">
      <c r="A95" t="s">
        <v>230</v>
      </c>
      <c r="B95" t="s">
        <v>215</v>
      </c>
      <c r="C95" t="s">
        <v>211</v>
      </c>
      <c r="D95" t="b">
        <v>0</v>
      </c>
    </row>
    <row r="96" spans="1:4">
      <c r="A96" t="s">
        <v>230</v>
      </c>
      <c r="B96" t="s">
        <v>228</v>
      </c>
      <c r="C96" t="s">
        <v>211</v>
      </c>
      <c r="D96" t="b">
        <v>0</v>
      </c>
    </row>
    <row r="97" spans="1:4">
      <c r="A97" t="s">
        <v>230</v>
      </c>
      <c r="B97" t="s">
        <v>208</v>
      </c>
      <c r="C97" t="s">
        <v>209</v>
      </c>
      <c r="D97" t="b">
        <v>0</v>
      </c>
    </row>
    <row r="98" spans="1:4">
      <c r="A98" t="s">
        <v>230</v>
      </c>
      <c r="B98" t="s">
        <v>213</v>
      </c>
      <c r="C98" t="s">
        <v>209</v>
      </c>
      <c r="D98" t="b">
        <v>0</v>
      </c>
    </row>
    <row r="99" spans="1:4">
      <c r="A99" t="s">
        <v>230</v>
      </c>
      <c r="B99" t="s">
        <v>212</v>
      </c>
      <c r="C99" t="s">
        <v>209</v>
      </c>
      <c r="D99" t="b">
        <v>1</v>
      </c>
    </row>
    <row r="100" spans="1:4">
      <c r="A100" t="s">
        <v>71</v>
      </c>
      <c r="B100" t="s">
        <v>208</v>
      </c>
      <c r="C100" t="s">
        <v>209</v>
      </c>
      <c r="D100" t="b">
        <v>1</v>
      </c>
    </row>
    <row r="101" spans="1:4">
      <c r="A101" t="s">
        <v>71</v>
      </c>
      <c r="B101" t="s">
        <v>214</v>
      </c>
      <c r="C101" t="s">
        <v>211</v>
      </c>
      <c r="D101" t="b">
        <v>0</v>
      </c>
    </row>
    <row r="102" spans="1:4">
      <c r="A102" t="s">
        <v>132</v>
      </c>
      <c r="B102" t="s">
        <v>210</v>
      </c>
      <c r="C102" t="s">
        <v>211</v>
      </c>
      <c r="D102" t="b">
        <v>0</v>
      </c>
    </row>
    <row r="103" spans="1:4">
      <c r="A103" t="s">
        <v>132</v>
      </c>
      <c r="B103" t="s">
        <v>208</v>
      </c>
      <c r="C103" t="s">
        <v>209</v>
      </c>
      <c r="D103" t="b">
        <v>1</v>
      </c>
    </row>
    <row r="104" spans="1:4">
      <c r="A104" t="s">
        <v>132</v>
      </c>
      <c r="B104" t="s">
        <v>231</v>
      </c>
      <c r="C104" t="s">
        <v>209</v>
      </c>
      <c r="D104" t="b">
        <v>1</v>
      </c>
    </row>
    <row r="105" spans="1:4">
      <c r="A105" t="s">
        <v>72</v>
      </c>
      <c r="B105" t="s">
        <v>214</v>
      </c>
      <c r="C105" t="s">
        <v>211</v>
      </c>
      <c r="D105" t="b">
        <v>1</v>
      </c>
    </row>
    <row r="106" spans="1:4">
      <c r="A106" t="s">
        <v>110</v>
      </c>
      <c r="B106" t="s">
        <v>210</v>
      </c>
      <c r="C106" t="s">
        <v>211</v>
      </c>
      <c r="D106" t="b">
        <v>0</v>
      </c>
    </row>
    <row r="107" spans="1:4">
      <c r="A107" t="s">
        <v>110</v>
      </c>
      <c r="B107" t="s">
        <v>208</v>
      </c>
      <c r="C107" t="s">
        <v>209</v>
      </c>
      <c r="D107" t="b">
        <v>0</v>
      </c>
    </row>
    <row r="108" spans="1:4">
      <c r="A108" t="s">
        <v>115</v>
      </c>
      <c r="B108" t="s">
        <v>210</v>
      </c>
      <c r="C108" t="s">
        <v>211</v>
      </c>
      <c r="D108" t="b">
        <v>0</v>
      </c>
    </row>
    <row r="109" spans="1:4">
      <c r="A109" t="s">
        <v>115</v>
      </c>
      <c r="B109" t="s">
        <v>208</v>
      </c>
      <c r="C109" t="s">
        <v>209</v>
      </c>
      <c r="D109" t="b">
        <v>0</v>
      </c>
    </row>
    <row r="110" spans="1:4">
      <c r="A110" t="s">
        <v>155</v>
      </c>
      <c r="B110" t="s">
        <v>208</v>
      </c>
      <c r="C110" t="s">
        <v>209</v>
      </c>
      <c r="D110" t="b">
        <v>0</v>
      </c>
    </row>
    <row r="111" spans="1:4">
      <c r="A111" t="s">
        <v>155</v>
      </c>
      <c r="B111" t="s">
        <v>210</v>
      </c>
      <c r="C111" t="s">
        <v>211</v>
      </c>
      <c r="D111" t="b">
        <v>1</v>
      </c>
    </row>
    <row r="112" spans="1:4">
      <c r="A112" t="s">
        <v>166</v>
      </c>
      <c r="B112" t="s">
        <v>214</v>
      </c>
      <c r="C112" t="s">
        <v>211</v>
      </c>
      <c r="D112" t="b">
        <v>0</v>
      </c>
    </row>
    <row r="113" spans="1:4">
      <c r="A113" t="s">
        <v>166</v>
      </c>
      <c r="B113" t="s">
        <v>210</v>
      </c>
      <c r="C113" t="s">
        <v>211</v>
      </c>
      <c r="D113" t="b">
        <v>1</v>
      </c>
    </row>
    <row r="114" spans="1:4">
      <c r="A114" t="s">
        <v>166</v>
      </c>
      <c r="B114" t="s">
        <v>228</v>
      </c>
      <c r="C114" t="s">
        <v>211</v>
      </c>
      <c r="D114" t="b">
        <v>0</v>
      </c>
    </row>
    <row r="115" spans="1:4">
      <c r="A115" t="s">
        <v>38</v>
      </c>
      <c r="B115" t="s">
        <v>210</v>
      </c>
      <c r="C115" t="s">
        <v>211</v>
      </c>
      <c r="D115" t="b">
        <v>1</v>
      </c>
    </row>
    <row r="116" spans="1:4">
      <c r="A116" t="s">
        <v>38</v>
      </c>
      <c r="B116" t="s">
        <v>228</v>
      </c>
      <c r="C116" t="s">
        <v>211</v>
      </c>
      <c r="D116" t="b">
        <v>0</v>
      </c>
    </row>
    <row r="117" spans="1:4">
      <c r="A117" t="s">
        <v>73</v>
      </c>
      <c r="B117" t="s">
        <v>214</v>
      </c>
      <c r="C117" t="s">
        <v>211</v>
      </c>
      <c r="D117" t="b">
        <v>1</v>
      </c>
    </row>
    <row r="118" spans="1:4">
      <c r="A118" t="s">
        <v>74</v>
      </c>
      <c r="B118" t="s">
        <v>210</v>
      </c>
      <c r="C118" t="s">
        <v>211</v>
      </c>
      <c r="D118" t="b">
        <v>0</v>
      </c>
    </row>
    <row r="119" spans="1:4">
      <c r="A119" t="s">
        <v>74</v>
      </c>
      <c r="B119" t="s">
        <v>212</v>
      </c>
      <c r="C119" t="s">
        <v>209</v>
      </c>
      <c r="D119" t="b">
        <v>1</v>
      </c>
    </row>
    <row r="120" spans="1:4">
      <c r="A120" t="s">
        <v>74</v>
      </c>
      <c r="B120" t="s">
        <v>213</v>
      </c>
      <c r="C120" t="s">
        <v>209</v>
      </c>
      <c r="D120" t="b">
        <v>0</v>
      </c>
    </row>
    <row r="121" spans="1:4">
      <c r="A121" t="s">
        <v>75</v>
      </c>
      <c r="B121" t="s">
        <v>210</v>
      </c>
      <c r="C121" t="s">
        <v>211</v>
      </c>
      <c r="D121" t="b">
        <v>0</v>
      </c>
    </row>
    <row r="122" spans="1:4">
      <c r="A122" t="s">
        <v>75</v>
      </c>
      <c r="B122" t="s">
        <v>208</v>
      </c>
      <c r="C122" t="s">
        <v>209</v>
      </c>
      <c r="D122" t="b">
        <v>1</v>
      </c>
    </row>
    <row r="123" spans="1:4">
      <c r="A123" t="s">
        <v>95</v>
      </c>
      <c r="B123" t="s">
        <v>210</v>
      </c>
      <c r="C123" t="s">
        <v>211</v>
      </c>
      <c r="D123" t="b">
        <v>0</v>
      </c>
    </row>
    <row r="124" spans="1:4">
      <c r="A124" t="s">
        <v>95</v>
      </c>
      <c r="B124" t="s">
        <v>212</v>
      </c>
      <c r="C124" t="s">
        <v>209</v>
      </c>
      <c r="D124" t="b">
        <v>1</v>
      </c>
    </row>
    <row r="125" spans="1:4">
      <c r="A125" t="s">
        <v>95</v>
      </c>
      <c r="B125" t="s">
        <v>213</v>
      </c>
      <c r="C125" t="s">
        <v>209</v>
      </c>
      <c r="D125" t="b">
        <v>0</v>
      </c>
    </row>
    <row r="126" spans="1:4">
      <c r="A126" t="s">
        <v>76</v>
      </c>
      <c r="B126" t="s">
        <v>214</v>
      </c>
      <c r="C126" t="s">
        <v>211</v>
      </c>
      <c r="D126" t="b">
        <v>1</v>
      </c>
    </row>
    <row r="127" spans="1:4">
      <c r="A127" t="s">
        <v>201</v>
      </c>
      <c r="B127" t="s">
        <v>214</v>
      </c>
      <c r="C127" t="s">
        <v>211</v>
      </c>
      <c r="D127" t="b">
        <v>1</v>
      </c>
    </row>
    <row r="128" spans="1:4">
      <c r="A128" t="s">
        <v>232</v>
      </c>
      <c r="B128" t="s">
        <v>208</v>
      </c>
      <c r="C128" t="s">
        <v>209</v>
      </c>
      <c r="D128" t="b">
        <v>1</v>
      </c>
    </row>
    <row r="129" spans="1:4">
      <c r="A129" t="s">
        <v>169</v>
      </c>
      <c r="B129" t="s">
        <v>208</v>
      </c>
      <c r="C129" t="s">
        <v>209</v>
      </c>
      <c r="D129" t="b">
        <v>1</v>
      </c>
    </row>
    <row r="130" spans="1:4">
      <c r="A130" t="s">
        <v>169</v>
      </c>
      <c r="B130" t="s">
        <v>214</v>
      </c>
      <c r="C130" t="s">
        <v>211</v>
      </c>
      <c r="D130" t="b">
        <v>0</v>
      </c>
    </row>
    <row r="131" spans="1:4">
      <c r="A131" t="s">
        <v>167</v>
      </c>
      <c r="B131" t="s">
        <v>210</v>
      </c>
      <c r="C131" t="s">
        <v>211</v>
      </c>
      <c r="D131" t="b">
        <v>1</v>
      </c>
    </row>
    <row r="132" spans="1:4">
      <c r="A132" t="s">
        <v>165</v>
      </c>
      <c r="B132" t="s">
        <v>214</v>
      </c>
      <c r="C132" t="s">
        <v>211</v>
      </c>
      <c r="D132" t="b">
        <v>0</v>
      </c>
    </row>
    <row r="133" spans="1:4">
      <c r="A133" t="s">
        <v>165</v>
      </c>
      <c r="B133" t="s">
        <v>210</v>
      </c>
      <c r="C133" t="s">
        <v>211</v>
      </c>
      <c r="D133" t="b">
        <v>1</v>
      </c>
    </row>
    <row r="134" spans="1:4">
      <c r="A134" t="s">
        <v>165</v>
      </c>
      <c r="B134" t="s">
        <v>228</v>
      </c>
      <c r="C134" t="s">
        <v>211</v>
      </c>
      <c r="D134" t="b">
        <v>0</v>
      </c>
    </row>
    <row r="135" spans="1:4">
      <c r="A135" t="s">
        <v>203</v>
      </c>
      <c r="B135" t="s">
        <v>210</v>
      </c>
      <c r="C135" t="s">
        <v>211</v>
      </c>
      <c r="D135" t="b">
        <v>1</v>
      </c>
    </row>
    <row r="136" spans="1:4">
      <c r="A136" t="s">
        <v>79</v>
      </c>
      <c r="B136" t="s">
        <v>210</v>
      </c>
      <c r="C136" t="s">
        <v>211</v>
      </c>
      <c r="D136" t="b">
        <v>0</v>
      </c>
    </row>
    <row r="137" spans="1:4">
      <c r="A137" t="s">
        <v>79</v>
      </c>
      <c r="B137" t="s">
        <v>212</v>
      </c>
      <c r="C137" t="s">
        <v>209</v>
      </c>
      <c r="D137" t="b">
        <v>1</v>
      </c>
    </row>
    <row r="138" spans="1:4">
      <c r="A138" t="s">
        <v>79</v>
      </c>
      <c r="B138" t="s">
        <v>213</v>
      </c>
      <c r="C138" t="s">
        <v>209</v>
      </c>
      <c r="D138" t="b">
        <v>0</v>
      </c>
    </row>
    <row r="139" spans="1:4">
      <c r="A139" t="s">
        <v>57</v>
      </c>
      <c r="B139" t="s">
        <v>214</v>
      </c>
      <c r="C139" t="s">
        <v>211</v>
      </c>
      <c r="D139" t="b">
        <v>1</v>
      </c>
    </row>
    <row r="140" spans="1:4">
      <c r="A140" t="s">
        <v>57</v>
      </c>
      <c r="B140" t="s">
        <v>212</v>
      </c>
      <c r="C140" t="s">
        <v>209</v>
      </c>
      <c r="D140" t="b">
        <v>0</v>
      </c>
    </row>
    <row r="141" spans="1:4">
      <c r="A141" t="s">
        <v>57</v>
      </c>
      <c r="B141" t="s">
        <v>213</v>
      </c>
      <c r="C141" t="s">
        <v>209</v>
      </c>
      <c r="D141" t="b">
        <v>0</v>
      </c>
    </row>
    <row r="142" spans="1:4">
      <c r="A142" t="s">
        <v>59</v>
      </c>
      <c r="B142" t="s">
        <v>214</v>
      </c>
      <c r="C142" t="s">
        <v>211</v>
      </c>
      <c r="D142" t="b">
        <v>1</v>
      </c>
    </row>
    <row r="143" spans="1:4">
      <c r="A143" t="s">
        <v>59</v>
      </c>
      <c r="B143" t="s">
        <v>208</v>
      </c>
      <c r="C143" t="s">
        <v>209</v>
      </c>
      <c r="D143" t="b">
        <v>0</v>
      </c>
    </row>
    <row r="144" spans="1:4">
      <c r="A144" t="s">
        <v>133</v>
      </c>
      <c r="B144" t="s">
        <v>208</v>
      </c>
      <c r="C144" t="s">
        <v>209</v>
      </c>
      <c r="D144" t="b">
        <v>1</v>
      </c>
    </row>
    <row r="145" spans="1:4">
      <c r="A145" t="s">
        <v>78</v>
      </c>
      <c r="B145" t="s">
        <v>210</v>
      </c>
      <c r="C145" t="s">
        <v>211</v>
      </c>
      <c r="D145" t="b">
        <v>0</v>
      </c>
    </row>
    <row r="146" spans="1:4">
      <c r="A146" t="s">
        <v>78</v>
      </c>
      <c r="B146" t="s">
        <v>212</v>
      </c>
      <c r="C146" t="s">
        <v>209</v>
      </c>
      <c r="D146" t="b">
        <v>1</v>
      </c>
    </row>
    <row r="147" spans="1:4">
      <c r="A147" t="s">
        <v>78</v>
      </c>
      <c r="B147" t="s">
        <v>213</v>
      </c>
      <c r="C147" t="s">
        <v>209</v>
      </c>
      <c r="D147" t="b">
        <v>0</v>
      </c>
    </row>
    <row r="148" spans="1:4">
      <c r="A148" t="s">
        <v>127</v>
      </c>
      <c r="B148" t="s">
        <v>212</v>
      </c>
      <c r="C148" t="s">
        <v>209</v>
      </c>
      <c r="D148" t="b">
        <v>1</v>
      </c>
    </row>
    <row r="149" spans="1:4">
      <c r="A149" t="s">
        <v>127</v>
      </c>
      <c r="B149" t="s">
        <v>213</v>
      </c>
      <c r="C149" t="s">
        <v>209</v>
      </c>
      <c r="D149" t="b">
        <v>0</v>
      </c>
    </row>
    <row r="150" spans="1:4">
      <c r="A150" t="s">
        <v>130</v>
      </c>
      <c r="B150" t="s">
        <v>208</v>
      </c>
      <c r="C150" t="s">
        <v>209</v>
      </c>
      <c r="D150" t="b">
        <v>1</v>
      </c>
    </row>
    <row r="151" spans="1:4">
      <c r="A151" t="s">
        <v>50</v>
      </c>
      <c r="B151" t="s">
        <v>214</v>
      </c>
      <c r="C151" t="s">
        <v>211</v>
      </c>
      <c r="D151" t="b">
        <v>0</v>
      </c>
    </row>
    <row r="152" spans="1:4">
      <c r="A152" t="s">
        <v>50</v>
      </c>
      <c r="B152" t="s">
        <v>212</v>
      </c>
      <c r="C152" t="s">
        <v>209</v>
      </c>
      <c r="D152" t="b">
        <v>1</v>
      </c>
    </row>
    <row r="153" spans="1:4">
      <c r="A153" t="s">
        <v>50</v>
      </c>
      <c r="B153" t="s">
        <v>213</v>
      </c>
      <c r="C153" t="s">
        <v>209</v>
      </c>
      <c r="D153" t="b">
        <v>0</v>
      </c>
    </row>
    <row r="154" spans="1:4">
      <c r="A154" t="s">
        <v>51</v>
      </c>
      <c r="B154" t="s">
        <v>214</v>
      </c>
      <c r="C154" t="s">
        <v>211</v>
      </c>
      <c r="D154" t="b">
        <v>0</v>
      </c>
    </row>
    <row r="155" spans="1:4">
      <c r="A155" t="s">
        <v>51</v>
      </c>
      <c r="B155" t="s">
        <v>208</v>
      </c>
      <c r="C155" t="s">
        <v>209</v>
      </c>
      <c r="D155" t="b">
        <v>1</v>
      </c>
    </row>
    <row r="156" spans="1:4">
      <c r="A156" t="s">
        <v>134</v>
      </c>
      <c r="B156" t="s">
        <v>208</v>
      </c>
      <c r="C156" t="s">
        <v>209</v>
      </c>
      <c r="D156" t="b">
        <v>1</v>
      </c>
    </row>
    <row r="157" spans="1:4">
      <c r="A157" t="s">
        <v>139</v>
      </c>
      <c r="B157" t="s">
        <v>208</v>
      </c>
      <c r="C157" t="s">
        <v>209</v>
      </c>
      <c r="D157" t="b">
        <v>1</v>
      </c>
    </row>
    <row r="158" spans="1:4">
      <c r="A158" t="s">
        <v>142</v>
      </c>
      <c r="B158" t="s">
        <v>208</v>
      </c>
      <c r="C158" t="s">
        <v>209</v>
      </c>
      <c r="D158" t="b">
        <v>1</v>
      </c>
    </row>
    <row r="159" spans="1:4">
      <c r="A159" t="s">
        <v>186</v>
      </c>
      <c r="B159" t="s">
        <v>208</v>
      </c>
      <c r="C159" t="s">
        <v>209</v>
      </c>
      <c r="D159" t="b">
        <v>1</v>
      </c>
    </row>
    <row r="160" spans="1:4">
      <c r="A160" t="s">
        <v>147</v>
      </c>
      <c r="B160" t="s">
        <v>210</v>
      </c>
      <c r="C160" t="s">
        <v>211</v>
      </c>
      <c r="D160" t="b">
        <v>1</v>
      </c>
    </row>
    <row r="161" spans="1:4">
      <c r="A161" t="s">
        <v>147</v>
      </c>
      <c r="B161" t="s">
        <v>228</v>
      </c>
      <c r="C161" t="s">
        <v>211</v>
      </c>
      <c r="D161" t="b">
        <v>0</v>
      </c>
    </row>
    <row r="162" spans="1:4">
      <c r="A162" t="s">
        <v>62</v>
      </c>
      <c r="B162" t="s">
        <v>208</v>
      </c>
      <c r="C162" t="s">
        <v>209</v>
      </c>
      <c r="D162" t="b">
        <v>1</v>
      </c>
    </row>
    <row r="163" spans="1:4">
      <c r="A163" t="s">
        <v>64</v>
      </c>
      <c r="B163" t="s">
        <v>208</v>
      </c>
      <c r="C163" t="s">
        <v>209</v>
      </c>
      <c r="D163" t="b">
        <v>1</v>
      </c>
    </row>
    <row r="164" spans="1:4">
      <c r="A164" t="s">
        <v>82</v>
      </c>
      <c r="B164" t="s">
        <v>208</v>
      </c>
      <c r="C164" t="s">
        <v>209</v>
      </c>
      <c r="D164" t="b">
        <v>1</v>
      </c>
    </row>
    <row r="165" spans="1:4">
      <c r="A165" t="s">
        <v>82</v>
      </c>
      <c r="B165" t="s">
        <v>231</v>
      </c>
      <c r="C165" t="s">
        <v>209</v>
      </c>
      <c r="D165" t="b">
        <v>1</v>
      </c>
    </row>
    <row r="166" spans="1:4">
      <c r="A166" t="s">
        <v>82</v>
      </c>
      <c r="B166" t="s">
        <v>233</v>
      </c>
      <c r="C166" t="s">
        <v>211</v>
      </c>
      <c r="D166" t="b">
        <v>0</v>
      </c>
    </row>
    <row r="167" spans="1:4">
      <c r="A167" t="s">
        <v>82</v>
      </c>
      <c r="B167" t="s">
        <v>234</v>
      </c>
      <c r="C167" t="s">
        <v>211</v>
      </c>
      <c r="D167" t="b">
        <v>1</v>
      </c>
    </row>
    <row r="168" spans="1:4">
      <c r="A168" t="s">
        <v>83</v>
      </c>
      <c r="B168" t="s">
        <v>208</v>
      </c>
      <c r="C168" t="s">
        <v>209</v>
      </c>
      <c r="D168" t="b">
        <v>1</v>
      </c>
    </row>
    <row r="169" spans="1:4">
      <c r="A169" t="s">
        <v>83</v>
      </c>
      <c r="B169" t="s">
        <v>231</v>
      </c>
      <c r="C169" t="s">
        <v>209</v>
      </c>
      <c r="D169" t="b">
        <v>1</v>
      </c>
    </row>
    <row r="170" spans="1:4">
      <c r="A170" t="s">
        <v>83</v>
      </c>
      <c r="B170" t="s">
        <v>233</v>
      </c>
      <c r="C170" t="s">
        <v>211</v>
      </c>
      <c r="D170" t="b">
        <v>0</v>
      </c>
    </row>
    <row r="171" spans="1:4">
      <c r="A171" t="s">
        <v>83</v>
      </c>
      <c r="B171" t="s">
        <v>234</v>
      </c>
      <c r="C171" t="s">
        <v>211</v>
      </c>
      <c r="D171" t="b">
        <v>1</v>
      </c>
    </row>
    <row r="172" spans="1:4">
      <c r="A172" t="s">
        <v>84</v>
      </c>
      <c r="B172" t="s">
        <v>208</v>
      </c>
      <c r="C172" t="s">
        <v>209</v>
      </c>
      <c r="D172" t="b">
        <v>1</v>
      </c>
    </row>
    <row r="173" spans="1:4">
      <c r="A173" t="s">
        <v>84</v>
      </c>
      <c r="B173" t="s">
        <v>231</v>
      </c>
      <c r="C173" t="s">
        <v>209</v>
      </c>
      <c r="D173" t="b">
        <v>1</v>
      </c>
    </row>
    <row r="174" spans="1:4">
      <c r="A174" t="s">
        <v>85</v>
      </c>
      <c r="B174" t="s">
        <v>208</v>
      </c>
      <c r="C174" t="s">
        <v>209</v>
      </c>
      <c r="D174" t="b">
        <v>1</v>
      </c>
    </row>
    <row r="175" spans="1:4">
      <c r="A175" t="s">
        <v>85</v>
      </c>
      <c r="B175" t="s">
        <v>231</v>
      </c>
      <c r="C175" t="s">
        <v>209</v>
      </c>
      <c r="D175" t="b">
        <v>1</v>
      </c>
    </row>
    <row r="176" spans="1:4">
      <c r="A176" t="s">
        <v>156</v>
      </c>
      <c r="B176" t="s">
        <v>208</v>
      </c>
      <c r="C176" t="s">
        <v>209</v>
      </c>
      <c r="D176" t="b">
        <v>0</v>
      </c>
    </row>
    <row r="177" spans="1:4">
      <c r="A177" t="s">
        <v>156</v>
      </c>
      <c r="B177" t="s">
        <v>210</v>
      </c>
      <c r="C177" t="s">
        <v>211</v>
      </c>
      <c r="D177" t="b">
        <v>1</v>
      </c>
    </row>
    <row r="178" spans="1:4">
      <c r="A178" t="s">
        <v>157</v>
      </c>
      <c r="B178" t="s">
        <v>208</v>
      </c>
      <c r="C178" t="s">
        <v>209</v>
      </c>
      <c r="D178" t="b">
        <v>0</v>
      </c>
    </row>
    <row r="179" spans="1:4">
      <c r="A179" t="s">
        <v>157</v>
      </c>
      <c r="B179" t="s">
        <v>210</v>
      </c>
      <c r="C179" t="s">
        <v>211</v>
      </c>
      <c r="D179" t="b">
        <v>1</v>
      </c>
    </row>
    <row r="180" spans="1:4">
      <c r="A180" t="s">
        <v>81</v>
      </c>
      <c r="B180" t="s">
        <v>208</v>
      </c>
      <c r="C180" t="s">
        <v>209</v>
      </c>
      <c r="D180" t="b">
        <v>1</v>
      </c>
    </row>
    <row r="181" spans="1:4">
      <c r="A181" t="s">
        <v>81</v>
      </c>
      <c r="B181" t="s">
        <v>231</v>
      </c>
      <c r="C181" t="s">
        <v>209</v>
      </c>
      <c r="D181" t="b">
        <v>1</v>
      </c>
    </row>
    <row r="182" spans="1:4">
      <c r="A182" t="s">
        <v>81</v>
      </c>
      <c r="B182" t="s">
        <v>214</v>
      </c>
      <c r="C182" t="s">
        <v>211</v>
      </c>
      <c r="D182" t="b">
        <v>0</v>
      </c>
    </row>
    <row r="183" spans="1:4">
      <c r="A183" t="s">
        <v>81</v>
      </c>
      <c r="B183" t="s">
        <v>233</v>
      </c>
      <c r="C183" t="s">
        <v>211</v>
      </c>
      <c r="D183" t="b">
        <v>0</v>
      </c>
    </row>
    <row r="184" spans="1:4">
      <c r="A184" t="s">
        <v>81</v>
      </c>
      <c r="B184" t="s">
        <v>234</v>
      </c>
      <c r="C184" t="s">
        <v>211</v>
      </c>
      <c r="D184" t="b">
        <v>1</v>
      </c>
    </row>
    <row r="185" spans="1:4">
      <c r="A185" t="s">
        <v>80</v>
      </c>
      <c r="B185" t="s">
        <v>210</v>
      </c>
      <c r="C185" t="s">
        <v>211</v>
      </c>
      <c r="D185" t="b">
        <v>0</v>
      </c>
    </row>
    <row r="186" spans="1:4">
      <c r="A186" t="s">
        <v>80</v>
      </c>
      <c r="B186" t="s">
        <v>208</v>
      </c>
      <c r="C186" t="s">
        <v>209</v>
      </c>
      <c r="D186" t="b">
        <v>1</v>
      </c>
    </row>
    <row r="187" spans="1:4">
      <c r="A187" t="s">
        <v>80</v>
      </c>
      <c r="B187" t="s">
        <v>231</v>
      </c>
      <c r="C187" t="s">
        <v>209</v>
      </c>
      <c r="D187" t="b">
        <v>1</v>
      </c>
    </row>
    <row r="188" spans="1:4">
      <c r="A188" t="s">
        <v>102</v>
      </c>
      <c r="B188" t="s">
        <v>214</v>
      </c>
      <c r="C188" t="s">
        <v>211</v>
      </c>
      <c r="D188" t="b">
        <v>0</v>
      </c>
    </row>
    <row r="189" spans="1:4">
      <c r="A189" t="s">
        <v>102</v>
      </c>
      <c r="B189" t="s">
        <v>208</v>
      </c>
      <c r="C189" t="s">
        <v>209</v>
      </c>
      <c r="D189" t="b">
        <v>1</v>
      </c>
    </row>
    <row r="190" spans="1:4">
      <c r="A190" t="s">
        <v>86</v>
      </c>
      <c r="B190" t="s">
        <v>231</v>
      </c>
      <c r="C190" t="s">
        <v>209</v>
      </c>
      <c r="D190" t="b">
        <v>1</v>
      </c>
    </row>
    <row r="191" spans="1:4">
      <c r="A191" t="s">
        <v>86</v>
      </c>
      <c r="B191" t="s">
        <v>233</v>
      </c>
      <c r="C191" t="s">
        <v>211</v>
      </c>
      <c r="D191" t="b">
        <v>0</v>
      </c>
    </row>
    <row r="192" spans="1:4">
      <c r="A192" t="s">
        <v>86</v>
      </c>
      <c r="B192" t="s">
        <v>234</v>
      </c>
      <c r="C192" t="s">
        <v>211</v>
      </c>
      <c r="D192" t="b">
        <v>1</v>
      </c>
    </row>
    <row r="193" spans="1:4">
      <c r="A193" t="s">
        <v>87</v>
      </c>
      <c r="B193" t="s">
        <v>231</v>
      </c>
      <c r="C193" t="s">
        <v>209</v>
      </c>
      <c r="D193" t="b">
        <v>1</v>
      </c>
    </row>
    <row r="194" spans="1:4">
      <c r="A194" t="s">
        <v>87</v>
      </c>
      <c r="B194" t="s">
        <v>233</v>
      </c>
      <c r="C194" t="s">
        <v>211</v>
      </c>
      <c r="D194" t="b">
        <v>0</v>
      </c>
    </row>
    <row r="195" spans="1:4">
      <c r="A195" t="s">
        <v>87</v>
      </c>
      <c r="B195" t="s">
        <v>234</v>
      </c>
      <c r="C195" t="s">
        <v>211</v>
      </c>
      <c r="D195" t="b">
        <v>1</v>
      </c>
    </row>
    <row r="196" spans="1:4">
      <c r="A196" t="s">
        <v>135</v>
      </c>
      <c r="B196" t="s">
        <v>210</v>
      </c>
      <c r="C196" t="s">
        <v>211</v>
      </c>
      <c r="D196" t="b">
        <v>1</v>
      </c>
    </row>
    <row r="197" spans="1:4">
      <c r="A197" t="s">
        <v>135</v>
      </c>
      <c r="B197" t="s">
        <v>208</v>
      </c>
      <c r="C197" t="s">
        <v>209</v>
      </c>
      <c r="D197" t="b">
        <v>0</v>
      </c>
    </row>
    <row r="198" spans="1:4">
      <c r="A198" t="s">
        <v>194</v>
      </c>
      <c r="B198" t="s">
        <v>214</v>
      </c>
      <c r="C198" t="s">
        <v>211</v>
      </c>
      <c r="D198" t="b">
        <v>1</v>
      </c>
    </row>
    <row r="199" spans="1:4">
      <c r="A199" t="s">
        <v>194</v>
      </c>
      <c r="B199" t="s">
        <v>213</v>
      </c>
      <c r="C199" t="s">
        <v>209</v>
      </c>
      <c r="D199" t="b">
        <v>0</v>
      </c>
    </row>
    <row r="200" spans="1:4">
      <c r="A200" t="s">
        <v>194</v>
      </c>
      <c r="B200" t="s">
        <v>212</v>
      </c>
      <c r="C200" t="s">
        <v>209</v>
      </c>
      <c r="D200" t="b">
        <v>0</v>
      </c>
    </row>
    <row r="201" spans="1:4">
      <c r="A201" t="s">
        <v>195</v>
      </c>
      <c r="B201" t="s">
        <v>214</v>
      </c>
      <c r="C201" t="s">
        <v>211</v>
      </c>
      <c r="D201" t="b">
        <v>1</v>
      </c>
    </row>
    <row r="202" spans="1:4">
      <c r="A202" t="s">
        <v>195</v>
      </c>
      <c r="B202" t="s">
        <v>213</v>
      </c>
      <c r="C202" t="s">
        <v>209</v>
      </c>
      <c r="D202" t="b">
        <v>0</v>
      </c>
    </row>
    <row r="203" spans="1:4">
      <c r="A203" t="s">
        <v>195</v>
      </c>
      <c r="B203" t="s">
        <v>212</v>
      </c>
      <c r="C203" t="s">
        <v>209</v>
      </c>
      <c r="D203" t="b">
        <v>0</v>
      </c>
    </row>
    <row r="204" spans="1:4">
      <c r="A204" t="s">
        <v>235</v>
      </c>
      <c r="B204" t="s">
        <v>214</v>
      </c>
      <c r="C204" t="s">
        <v>211</v>
      </c>
      <c r="D204" t="b">
        <v>1</v>
      </c>
    </row>
    <row r="205" spans="1:4">
      <c r="A205" t="s">
        <v>235</v>
      </c>
      <c r="B205" t="s">
        <v>215</v>
      </c>
      <c r="C205" t="s">
        <v>211</v>
      </c>
      <c r="D205" t="b">
        <v>0</v>
      </c>
    </row>
    <row r="206" spans="1:4">
      <c r="A206" t="s">
        <v>235</v>
      </c>
      <c r="B206" t="s">
        <v>208</v>
      </c>
      <c r="C206" t="s">
        <v>209</v>
      </c>
      <c r="D206" t="b">
        <v>0</v>
      </c>
    </row>
    <row r="207" spans="1:4">
      <c r="A207" t="s">
        <v>235</v>
      </c>
      <c r="B207" t="s">
        <v>213</v>
      </c>
      <c r="C207" t="s">
        <v>209</v>
      </c>
      <c r="D207" t="b">
        <v>0</v>
      </c>
    </row>
    <row r="208" spans="1:4">
      <c r="A208" t="s">
        <v>235</v>
      </c>
      <c r="B208" t="s">
        <v>212</v>
      </c>
      <c r="C208" t="s">
        <v>209</v>
      </c>
      <c r="D208" t="b">
        <v>0</v>
      </c>
    </row>
    <row r="209" spans="1:4">
      <c r="A209" t="s">
        <v>236</v>
      </c>
      <c r="B209" t="s">
        <v>214</v>
      </c>
      <c r="C209" t="s">
        <v>211</v>
      </c>
      <c r="D209" t="b">
        <v>1</v>
      </c>
    </row>
    <row r="210" spans="1:4">
      <c r="A210" t="s">
        <v>236</v>
      </c>
      <c r="B210" t="s">
        <v>215</v>
      </c>
      <c r="C210" t="s">
        <v>211</v>
      </c>
      <c r="D210" t="b">
        <v>0</v>
      </c>
    </row>
    <row r="211" spans="1:4">
      <c r="A211" t="s">
        <v>236</v>
      </c>
      <c r="B211" t="s">
        <v>208</v>
      </c>
      <c r="C211" t="s">
        <v>209</v>
      </c>
      <c r="D211" t="b">
        <v>0</v>
      </c>
    </row>
    <row r="212" spans="1:4">
      <c r="A212" t="s">
        <v>236</v>
      </c>
      <c r="B212" t="s">
        <v>213</v>
      </c>
      <c r="C212" t="s">
        <v>209</v>
      </c>
      <c r="D212" t="b">
        <v>0</v>
      </c>
    </row>
    <row r="213" spans="1:4">
      <c r="A213" t="s">
        <v>236</v>
      </c>
      <c r="B213" t="s">
        <v>212</v>
      </c>
      <c r="C213" t="s">
        <v>209</v>
      </c>
      <c r="D213" t="b">
        <v>0</v>
      </c>
    </row>
    <row r="214" spans="1:4">
      <c r="A214" t="s">
        <v>237</v>
      </c>
      <c r="B214" t="s">
        <v>214</v>
      </c>
      <c r="C214" t="s">
        <v>211</v>
      </c>
      <c r="D214" t="b">
        <v>1</v>
      </c>
    </row>
    <row r="215" spans="1:4">
      <c r="A215" t="s">
        <v>237</v>
      </c>
      <c r="B215" t="s">
        <v>215</v>
      </c>
      <c r="C215" t="s">
        <v>211</v>
      </c>
      <c r="D215" t="b">
        <v>0</v>
      </c>
    </row>
    <row r="216" spans="1:4">
      <c r="A216" t="s">
        <v>237</v>
      </c>
      <c r="B216" t="s">
        <v>208</v>
      </c>
      <c r="C216" t="s">
        <v>209</v>
      </c>
      <c r="D216" t="b">
        <v>0</v>
      </c>
    </row>
    <row r="217" spans="1:4">
      <c r="A217" t="s">
        <v>237</v>
      </c>
      <c r="B217" t="s">
        <v>213</v>
      </c>
      <c r="C217" t="s">
        <v>209</v>
      </c>
      <c r="D217" t="b">
        <v>0</v>
      </c>
    </row>
    <row r="218" spans="1:4">
      <c r="A218" t="s">
        <v>237</v>
      </c>
      <c r="B218" t="s">
        <v>212</v>
      </c>
      <c r="C218" t="s">
        <v>209</v>
      </c>
      <c r="D218" t="b">
        <v>0</v>
      </c>
    </row>
    <row r="219" spans="1:4">
      <c r="A219" t="s">
        <v>238</v>
      </c>
      <c r="B219" t="s">
        <v>214</v>
      </c>
      <c r="C219" t="s">
        <v>211</v>
      </c>
      <c r="D219" t="b">
        <v>1</v>
      </c>
    </row>
    <row r="220" spans="1:4">
      <c r="A220" t="s">
        <v>238</v>
      </c>
      <c r="B220" t="s">
        <v>215</v>
      </c>
      <c r="C220" t="s">
        <v>211</v>
      </c>
      <c r="D220" t="b">
        <v>0</v>
      </c>
    </row>
    <row r="221" spans="1:4">
      <c r="A221" t="s">
        <v>238</v>
      </c>
      <c r="B221" t="s">
        <v>208</v>
      </c>
      <c r="C221" t="s">
        <v>209</v>
      </c>
      <c r="D221" t="b">
        <v>0</v>
      </c>
    </row>
    <row r="222" spans="1:4">
      <c r="A222" t="s">
        <v>238</v>
      </c>
      <c r="B222" t="s">
        <v>213</v>
      </c>
      <c r="C222" t="s">
        <v>209</v>
      </c>
      <c r="D222" t="b">
        <v>0</v>
      </c>
    </row>
    <row r="223" spans="1:4">
      <c r="A223" t="s">
        <v>238</v>
      </c>
      <c r="B223" t="s">
        <v>212</v>
      </c>
      <c r="C223" t="s">
        <v>209</v>
      </c>
      <c r="D223" t="b">
        <v>0</v>
      </c>
    </row>
    <row r="224" spans="1:4">
      <c r="A224" t="s">
        <v>239</v>
      </c>
      <c r="B224" t="s">
        <v>214</v>
      </c>
      <c r="C224" t="s">
        <v>211</v>
      </c>
      <c r="D224" t="b">
        <v>1</v>
      </c>
    </row>
    <row r="225" spans="1:4">
      <c r="A225" t="s">
        <v>239</v>
      </c>
      <c r="B225" t="s">
        <v>215</v>
      </c>
      <c r="C225" t="s">
        <v>211</v>
      </c>
      <c r="D225" t="b">
        <v>0</v>
      </c>
    </row>
    <row r="226" spans="1:4">
      <c r="A226" t="s">
        <v>239</v>
      </c>
      <c r="B226" t="s">
        <v>208</v>
      </c>
      <c r="C226" t="s">
        <v>209</v>
      </c>
      <c r="D226" t="b">
        <v>0</v>
      </c>
    </row>
    <row r="227" spans="1:4">
      <c r="A227" t="s">
        <v>239</v>
      </c>
      <c r="B227" t="s">
        <v>213</v>
      </c>
      <c r="C227" t="s">
        <v>209</v>
      </c>
      <c r="D227" t="b">
        <v>0</v>
      </c>
    </row>
    <row r="228" spans="1:4">
      <c r="A228" t="s">
        <v>239</v>
      </c>
      <c r="B228" t="s">
        <v>212</v>
      </c>
      <c r="C228" t="s">
        <v>209</v>
      </c>
      <c r="D228" t="b">
        <v>0</v>
      </c>
    </row>
    <row r="229" spans="1:4">
      <c r="A229" t="s">
        <v>240</v>
      </c>
      <c r="B229" t="s">
        <v>214</v>
      </c>
      <c r="C229" t="s">
        <v>211</v>
      </c>
      <c r="D229" t="b">
        <v>1</v>
      </c>
    </row>
    <row r="230" spans="1:4">
      <c r="A230" t="s">
        <v>240</v>
      </c>
      <c r="B230" t="s">
        <v>215</v>
      </c>
      <c r="C230" t="s">
        <v>211</v>
      </c>
      <c r="D230" t="b">
        <v>0</v>
      </c>
    </row>
    <row r="231" spans="1:4">
      <c r="A231" t="s">
        <v>240</v>
      </c>
      <c r="B231" t="s">
        <v>208</v>
      </c>
      <c r="C231" t="s">
        <v>209</v>
      </c>
      <c r="D231" t="b">
        <v>0</v>
      </c>
    </row>
    <row r="232" spans="1:4">
      <c r="A232" t="s">
        <v>240</v>
      </c>
      <c r="B232" t="s">
        <v>213</v>
      </c>
      <c r="C232" t="s">
        <v>209</v>
      </c>
      <c r="D232" t="b">
        <v>0</v>
      </c>
    </row>
    <row r="233" spans="1:4">
      <c r="A233" t="s">
        <v>240</v>
      </c>
      <c r="B233" t="s">
        <v>212</v>
      </c>
      <c r="C233" t="s">
        <v>209</v>
      </c>
      <c r="D233" t="b">
        <v>0</v>
      </c>
    </row>
    <row r="234" spans="1:4">
      <c r="A234" t="s">
        <v>164</v>
      </c>
      <c r="B234" t="s">
        <v>208</v>
      </c>
      <c r="C234" t="s">
        <v>209</v>
      </c>
      <c r="D234" t="b">
        <v>0</v>
      </c>
    </row>
    <row r="235" spans="1:4">
      <c r="A235" t="s">
        <v>164</v>
      </c>
      <c r="B235" t="s">
        <v>210</v>
      </c>
      <c r="C235" t="s">
        <v>211</v>
      </c>
      <c r="D235" t="b">
        <v>1</v>
      </c>
    </row>
    <row r="236" spans="1:4">
      <c r="A236" t="s">
        <v>163</v>
      </c>
      <c r="B236" t="s">
        <v>208</v>
      </c>
      <c r="C236" t="s">
        <v>209</v>
      </c>
      <c r="D236" t="b">
        <v>0</v>
      </c>
    </row>
    <row r="237" spans="1:4">
      <c r="A237" t="s">
        <v>163</v>
      </c>
      <c r="B237" t="s">
        <v>210</v>
      </c>
      <c r="C237" t="s">
        <v>211</v>
      </c>
      <c r="D237" t="b">
        <v>1</v>
      </c>
    </row>
    <row r="238" spans="1:4">
      <c r="A238" t="s">
        <v>162</v>
      </c>
      <c r="B238" t="s">
        <v>208</v>
      </c>
      <c r="C238" t="s">
        <v>209</v>
      </c>
      <c r="D238" t="b">
        <v>0</v>
      </c>
    </row>
    <row r="239" spans="1:4">
      <c r="A239" t="s">
        <v>162</v>
      </c>
      <c r="B239" t="s">
        <v>210</v>
      </c>
      <c r="C239" t="s">
        <v>211</v>
      </c>
      <c r="D239" t="b">
        <v>1</v>
      </c>
    </row>
    <row r="240" spans="1:4">
      <c r="A240" t="s">
        <v>89</v>
      </c>
      <c r="B240" t="s">
        <v>214</v>
      </c>
      <c r="C240" t="s">
        <v>211</v>
      </c>
      <c r="D240" t="b">
        <v>1</v>
      </c>
    </row>
    <row r="241" spans="1:4">
      <c r="A241" t="s">
        <v>90</v>
      </c>
      <c r="B241" t="s">
        <v>214</v>
      </c>
      <c r="C241" t="s">
        <v>211</v>
      </c>
      <c r="D241" t="b">
        <v>1</v>
      </c>
    </row>
    <row r="242" spans="1:4">
      <c r="A242" t="s">
        <v>241</v>
      </c>
      <c r="B242" t="s">
        <v>208</v>
      </c>
      <c r="C242" t="s">
        <v>209</v>
      </c>
      <c r="D242" t="b">
        <v>0</v>
      </c>
    </row>
    <row r="243" spans="1:4">
      <c r="A243" t="s">
        <v>129</v>
      </c>
      <c r="B243" t="s">
        <v>208</v>
      </c>
      <c r="C243" t="s">
        <v>209</v>
      </c>
      <c r="D243" t="b">
        <v>1</v>
      </c>
    </row>
    <row r="244" spans="1:4">
      <c r="A244" t="s">
        <v>143</v>
      </c>
      <c r="B244" t="s">
        <v>208</v>
      </c>
      <c r="C244" t="s">
        <v>209</v>
      </c>
      <c r="D244" t="b">
        <v>1</v>
      </c>
    </row>
    <row r="245" spans="1:4">
      <c r="A245" t="s">
        <v>92</v>
      </c>
      <c r="B245" t="s">
        <v>208</v>
      </c>
      <c r="C245" t="s">
        <v>209</v>
      </c>
      <c r="D245" t="b">
        <v>1</v>
      </c>
    </row>
    <row r="246" spans="1:4">
      <c r="A246" t="s">
        <v>56</v>
      </c>
      <c r="B246" t="s">
        <v>214</v>
      </c>
      <c r="C246" t="s">
        <v>211</v>
      </c>
      <c r="D246" t="b">
        <v>1</v>
      </c>
    </row>
    <row r="247" spans="1:4">
      <c r="A247" t="s">
        <v>56</v>
      </c>
      <c r="B247" t="s">
        <v>228</v>
      </c>
      <c r="C247" t="s">
        <v>211</v>
      </c>
      <c r="D247" t="b">
        <v>0</v>
      </c>
    </row>
    <row r="248" spans="1:4">
      <c r="A248" t="s">
        <v>56</v>
      </c>
      <c r="B248" t="s">
        <v>212</v>
      </c>
      <c r="C248" t="s">
        <v>209</v>
      </c>
      <c r="D248" t="b">
        <v>0</v>
      </c>
    </row>
    <row r="249" spans="1:4">
      <c r="A249" t="s">
        <v>56</v>
      </c>
      <c r="B249" t="s">
        <v>213</v>
      </c>
      <c r="C249" t="s">
        <v>209</v>
      </c>
      <c r="D249" t="b">
        <v>0</v>
      </c>
    </row>
    <row r="250" spans="1:4">
      <c r="A250" t="s">
        <v>58</v>
      </c>
      <c r="B250" t="s">
        <v>214</v>
      </c>
      <c r="C250" t="s">
        <v>211</v>
      </c>
      <c r="D250" t="b">
        <v>1</v>
      </c>
    </row>
    <row r="251" spans="1:4">
      <c r="A251" t="s">
        <v>58</v>
      </c>
      <c r="B251" t="s">
        <v>208</v>
      </c>
      <c r="C251" t="s">
        <v>209</v>
      </c>
      <c r="D251" t="b">
        <v>0</v>
      </c>
    </row>
    <row r="252" spans="1:4">
      <c r="A252" t="s">
        <v>137</v>
      </c>
      <c r="B252" t="s">
        <v>208</v>
      </c>
      <c r="C252" t="s">
        <v>209</v>
      </c>
      <c r="D252" t="b">
        <v>1</v>
      </c>
    </row>
    <row r="253" spans="1:4">
      <c r="A253" t="s">
        <v>140</v>
      </c>
      <c r="B253" t="s">
        <v>208</v>
      </c>
      <c r="C253" t="s">
        <v>209</v>
      </c>
      <c r="D253" t="b">
        <v>1</v>
      </c>
    </row>
    <row r="254" spans="1:4">
      <c r="A254" t="s">
        <v>144</v>
      </c>
      <c r="B254" t="s">
        <v>208</v>
      </c>
      <c r="C254" t="s">
        <v>209</v>
      </c>
      <c r="D254" t="b">
        <v>1</v>
      </c>
    </row>
    <row r="255" spans="1:4">
      <c r="A255" t="s">
        <v>37</v>
      </c>
      <c r="B255" t="s">
        <v>210</v>
      </c>
      <c r="C255" t="s">
        <v>211</v>
      </c>
      <c r="D255" t="b">
        <v>1</v>
      </c>
    </row>
    <row r="256" spans="1:4">
      <c r="A256" t="s">
        <v>93</v>
      </c>
      <c r="B256" t="s">
        <v>210</v>
      </c>
      <c r="C256" t="s">
        <v>211</v>
      </c>
      <c r="D256" t="b">
        <v>0</v>
      </c>
    </row>
    <row r="257" spans="1:4">
      <c r="A257" t="s">
        <v>93</v>
      </c>
      <c r="B257" t="s">
        <v>212</v>
      </c>
      <c r="C257" t="s">
        <v>209</v>
      </c>
      <c r="D257" t="b">
        <v>1</v>
      </c>
    </row>
    <row r="258" spans="1:4">
      <c r="A258" t="s">
        <v>93</v>
      </c>
      <c r="B258" t="s">
        <v>213</v>
      </c>
      <c r="C258" t="s">
        <v>209</v>
      </c>
      <c r="D258" t="b">
        <v>0</v>
      </c>
    </row>
    <row r="259" spans="1:4">
      <c r="A259" t="s">
        <v>94</v>
      </c>
      <c r="B259" t="s">
        <v>210</v>
      </c>
      <c r="C259" t="s">
        <v>211</v>
      </c>
      <c r="D259" t="b">
        <v>0</v>
      </c>
    </row>
    <row r="260" spans="1:4">
      <c r="A260" t="s">
        <v>94</v>
      </c>
      <c r="B260" t="s">
        <v>212</v>
      </c>
      <c r="C260" t="s">
        <v>209</v>
      </c>
      <c r="D260" t="b">
        <v>1</v>
      </c>
    </row>
    <row r="261" spans="1:4">
      <c r="A261" t="s">
        <v>94</v>
      </c>
      <c r="B261" t="s">
        <v>213</v>
      </c>
      <c r="C261" t="s">
        <v>209</v>
      </c>
      <c r="D261" t="b">
        <v>0</v>
      </c>
    </row>
    <row r="262" spans="1:4">
      <c r="A262" t="s">
        <v>170</v>
      </c>
      <c r="B262" t="s">
        <v>208</v>
      </c>
      <c r="C262" t="s">
        <v>209</v>
      </c>
      <c r="D262" t="b">
        <v>1</v>
      </c>
    </row>
    <row r="263" spans="1:4">
      <c r="A263" t="s">
        <v>170</v>
      </c>
      <c r="B263" t="s">
        <v>214</v>
      </c>
      <c r="C263" t="s">
        <v>211</v>
      </c>
      <c r="D263" t="b">
        <v>0</v>
      </c>
    </row>
    <row r="264" spans="1:4">
      <c r="A264" t="s">
        <v>136</v>
      </c>
      <c r="B264" t="s">
        <v>208</v>
      </c>
      <c r="C264" t="s">
        <v>209</v>
      </c>
      <c r="D264" t="b">
        <v>1</v>
      </c>
    </row>
    <row r="265" spans="1:4">
      <c r="A265" t="s">
        <v>168</v>
      </c>
      <c r="B265" t="s">
        <v>214</v>
      </c>
      <c r="C265" t="s">
        <v>211</v>
      </c>
      <c r="D265" t="b">
        <v>0</v>
      </c>
    </row>
    <row r="266" spans="1:4">
      <c r="A266" t="s">
        <v>168</v>
      </c>
      <c r="B266" t="s">
        <v>208</v>
      </c>
      <c r="C266" t="s">
        <v>209</v>
      </c>
      <c r="D266" t="b">
        <v>1</v>
      </c>
    </row>
    <row r="267" spans="1:4">
      <c r="A267" t="s">
        <v>101</v>
      </c>
      <c r="B267" t="s">
        <v>214</v>
      </c>
      <c r="C267" t="s">
        <v>211</v>
      </c>
      <c r="D267" t="b">
        <v>1</v>
      </c>
    </row>
    <row r="268" spans="1:4">
      <c r="A268" t="s">
        <v>101</v>
      </c>
      <c r="B268" t="s">
        <v>213</v>
      </c>
      <c r="C268" t="s">
        <v>209</v>
      </c>
      <c r="D268" t="b">
        <v>0</v>
      </c>
    </row>
    <row r="269" spans="1:4">
      <c r="A269" t="s">
        <v>101</v>
      </c>
      <c r="B269" t="s">
        <v>212</v>
      </c>
      <c r="C269" t="s">
        <v>209</v>
      </c>
      <c r="D269" t="b">
        <v>0</v>
      </c>
    </row>
    <row r="270" spans="1:4">
      <c r="A270" t="s">
        <v>96</v>
      </c>
      <c r="B270" t="s">
        <v>208</v>
      </c>
      <c r="C270" t="s">
        <v>209</v>
      </c>
      <c r="D270" t="b">
        <v>0</v>
      </c>
    </row>
    <row r="271" spans="1:4">
      <c r="A271" t="s">
        <v>96</v>
      </c>
      <c r="B271" t="s">
        <v>214</v>
      </c>
      <c r="C271" t="s">
        <v>211</v>
      </c>
      <c r="D271" t="b">
        <v>0</v>
      </c>
    </row>
    <row r="272" spans="1:4">
      <c r="A272" t="s">
        <v>96</v>
      </c>
      <c r="B272" t="s">
        <v>210</v>
      </c>
      <c r="C272" t="s">
        <v>211</v>
      </c>
      <c r="D272" t="b">
        <v>1</v>
      </c>
    </row>
    <row r="273" spans="1:4">
      <c r="A273" t="s">
        <v>97</v>
      </c>
      <c r="B273" t="s">
        <v>208</v>
      </c>
      <c r="C273" t="s">
        <v>209</v>
      </c>
      <c r="D273" t="b">
        <v>0</v>
      </c>
    </row>
    <row r="274" spans="1:4">
      <c r="A274" t="s">
        <v>97</v>
      </c>
      <c r="B274" t="s">
        <v>214</v>
      </c>
      <c r="C274" t="s">
        <v>211</v>
      </c>
      <c r="D274" t="b">
        <v>0</v>
      </c>
    </row>
    <row r="275" spans="1:4">
      <c r="A275" t="s">
        <v>97</v>
      </c>
      <c r="B275" t="s">
        <v>210</v>
      </c>
      <c r="C275" t="s">
        <v>211</v>
      </c>
      <c r="D275" t="b">
        <v>1</v>
      </c>
    </row>
    <row r="276" spans="1:4">
      <c r="A276" t="s">
        <v>98</v>
      </c>
      <c r="B276" t="s">
        <v>214</v>
      </c>
      <c r="C276" t="s">
        <v>211</v>
      </c>
      <c r="D276" t="b">
        <v>1</v>
      </c>
    </row>
    <row r="277" spans="1:4">
      <c r="A277" t="s">
        <v>100</v>
      </c>
      <c r="B277" t="s">
        <v>208</v>
      </c>
      <c r="C277" t="s">
        <v>209</v>
      </c>
      <c r="D277" t="b">
        <v>1</v>
      </c>
    </row>
    <row r="278" spans="1:4">
      <c r="A278" t="s">
        <v>100</v>
      </c>
      <c r="B278" t="s">
        <v>214</v>
      </c>
      <c r="C278" t="s">
        <v>211</v>
      </c>
      <c r="D278" t="b">
        <v>0</v>
      </c>
    </row>
    <row r="279" spans="1:4">
      <c r="A279" t="s">
        <v>88</v>
      </c>
      <c r="B279" t="s">
        <v>208</v>
      </c>
      <c r="C279" t="s">
        <v>209</v>
      </c>
      <c r="D279" t="b">
        <v>1</v>
      </c>
    </row>
    <row r="280" spans="1:4">
      <c r="A280" t="s">
        <v>88</v>
      </c>
      <c r="B280" t="s">
        <v>214</v>
      </c>
      <c r="C280" t="s">
        <v>211</v>
      </c>
      <c r="D280" t="b">
        <v>0</v>
      </c>
    </row>
    <row r="281" spans="1:4">
      <c r="A281" t="s">
        <v>88</v>
      </c>
      <c r="B281" t="s">
        <v>210</v>
      </c>
      <c r="C281" t="s">
        <v>211</v>
      </c>
      <c r="D281" t="b">
        <v>1</v>
      </c>
    </row>
    <row r="282" spans="1:4">
      <c r="A282" t="s">
        <v>63</v>
      </c>
      <c r="B282" t="s">
        <v>208</v>
      </c>
      <c r="C282" t="s">
        <v>209</v>
      </c>
      <c r="D282" t="b">
        <v>1</v>
      </c>
    </row>
    <row r="283" spans="1:4">
      <c r="A283" t="s">
        <v>126</v>
      </c>
      <c r="B283" t="s">
        <v>212</v>
      </c>
      <c r="C283" t="s">
        <v>209</v>
      </c>
      <c r="D283" t="b">
        <v>1</v>
      </c>
    </row>
    <row r="284" spans="1:4">
      <c r="A284" t="s">
        <v>126</v>
      </c>
      <c r="B284" t="s">
        <v>213</v>
      </c>
      <c r="C284" t="s">
        <v>209</v>
      </c>
      <c r="D284" t="b">
        <v>0</v>
      </c>
    </row>
    <row r="285" spans="1:4">
      <c r="A285" t="s">
        <v>128</v>
      </c>
      <c r="B285" t="s">
        <v>208</v>
      </c>
      <c r="C285" t="s">
        <v>209</v>
      </c>
      <c r="D285" t="b">
        <v>1</v>
      </c>
    </row>
    <row r="286" spans="1:4">
      <c r="A286" t="s">
        <v>138</v>
      </c>
      <c r="B286" t="s">
        <v>208</v>
      </c>
      <c r="C286" t="s">
        <v>209</v>
      </c>
      <c r="D286" t="b">
        <v>1</v>
      </c>
    </row>
    <row r="287" spans="1:4">
      <c r="A287" t="s">
        <v>141</v>
      </c>
      <c r="B287" t="s">
        <v>208</v>
      </c>
      <c r="C287" t="s">
        <v>209</v>
      </c>
      <c r="D287" t="b">
        <v>1</v>
      </c>
    </row>
    <row r="288" spans="1:4">
      <c r="A288" t="s">
        <v>145</v>
      </c>
      <c r="B288" t="s">
        <v>208</v>
      </c>
      <c r="C288" t="s">
        <v>209</v>
      </c>
      <c r="D288" t="b">
        <v>1</v>
      </c>
    </row>
    <row r="289" spans="1:4">
      <c r="A289" t="s">
        <v>171</v>
      </c>
      <c r="B289" t="s">
        <v>210</v>
      </c>
      <c r="C289" t="s">
        <v>211</v>
      </c>
      <c r="D289" t="b">
        <v>1</v>
      </c>
    </row>
    <row r="290" spans="1:4">
      <c r="A290" t="s">
        <v>103</v>
      </c>
      <c r="B290" t="s">
        <v>208</v>
      </c>
      <c r="C290" t="s">
        <v>209</v>
      </c>
      <c r="D290" t="b">
        <v>1</v>
      </c>
    </row>
    <row r="291" spans="1:4">
      <c r="A291" t="s">
        <v>48</v>
      </c>
      <c r="B291" t="s">
        <v>214</v>
      </c>
      <c r="C291" t="s">
        <v>211</v>
      </c>
      <c r="D291" t="b">
        <v>0</v>
      </c>
    </row>
    <row r="292" spans="1:4">
      <c r="A292" t="s">
        <v>48</v>
      </c>
      <c r="B292" t="s">
        <v>228</v>
      </c>
      <c r="C292" t="s">
        <v>211</v>
      </c>
      <c r="D292" t="b">
        <v>0</v>
      </c>
    </row>
    <row r="293" spans="1:4">
      <c r="A293" t="s">
        <v>48</v>
      </c>
      <c r="B293" t="s">
        <v>212</v>
      </c>
      <c r="C293" t="s">
        <v>209</v>
      </c>
      <c r="D293" t="b">
        <v>1</v>
      </c>
    </row>
    <row r="294" spans="1:4">
      <c r="A294" t="s">
        <v>48</v>
      </c>
      <c r="B294" t="s">
        <v>213</v>
      </c>
      <c r="C294" t="s">
        <v>209</v>
      </c>
      <c r="D294" t="b">
        <v>0</v>
      </c>
    </row>
    <row r="295" spans="1:4">
      <c r="A295" t="s">
        <v>49</v>
      </c>
      <c r="B295" t="s">
        <v>214</v>
      </c>
      <c r="C295" t="s">
        <v>211</v>
      </c>
      <c r="D295" t="b">
        <v>0</v>
      </c>
    </row>
    <row r="296" spans="1:4">
      <c r="A296" t="s">
        <v>49</v>
      </c>
      <c r="B296" t="s">
        <v>228</v>
      </c>
      <c r="C296" t="s">
        <v>211</v>
      </c>
      <c r="D296" t="b">
        <v>0</v>
      </c>
    </row>
    <row r="297" spans="1:4">
      <c r="A297" t="s">
        <v>49</v>
      </c>
      <c r="B297" t="s">
        <v>208</v>
      </c>
      <c r="C297" t="s">
        <v>209</v>
      </c>
      <c r="D297" t="b">
        <v>1</v>
      </c>
    </row>
    <row r="298" spans="1:4">
      <c r="A298" t="s">
        <v>242</v>
      </c>
      <c r="B298" t="s">
        <v>208</v>
      </c>
      <c r="C298" t="s">
        <v>209</v>
      </c>
      <c r="D298" t="b">
        <v>1</v>
      </c>
    </row>
    <row r="299" spans="1:4">
      <c r="A299" t="s">
        <v>104</v>
      </c>
      <c r="B299" t="s">
        <v>208</v>
      </c>
      <c r="C299" t="s">
        <v>209</v>
      </c>
      <c r="D299" t="b">
        <v>1</v>
      </c>
    </row>
    <row r="300" spans="1:4">
      <c r="A300" t="s">
        <v>54</v>
      </c>
      <c r="B300" t="s">
        <v>210</v>
      </c>
      <c r="C300" t="s">
        <v>211</v>
      </c>
      <c r="D300" t="b">
        <v>0</v>
      </c>
    </row>
    <row r="301" spans="1:4">
      <c r="A301" t="s">
        <v>54</v>
      </c>
      <c r="B301" t="s">
        <v>208</v>
      </c>
      <c r="C301" t="s">
        <v>209</v>
      </c>
      <c r="D301" t="b">
        <v>1</v>
      </c>
    </row>
    <row r="302" spans="1:4">
      <c r="A302" t="s">
        <v>197</v>
      </c>
      <c r="B302" t="s">
        <v>214</v>
      </c>
      <c r="C302" t="s">
        <v>211</v>
      </c>
      <c r="D302" t="b">
        <v>1</v>
      </c>
    </row>
    <row r="303" spans="1:4">
      <c r="A303" t="s">
        <v>55</v>
      </c>
      <c r="B303" t="s">
        <v>210</v>
      </c>
      <c r="C303" t="s">
        <v>211</v>
      </c>
      <c r="D303" t="b">
        <v>0</v>
      </c>
    </row>
    <row r="304" spans="1:4">
      <c r="A304" t="s">
        <v>55</v>
      </c>
      <c r="B304" t="s">
        <v>228</v>
      </c>
      <c r="C304" t="s">
        <v>211</v>
      </c>
      <c r="D304" t="b">
        <v>0</v>
      </c>
    </row>
    <row r="305" spans="1:4">
      <c r="A305" t="s">
        <v>55</v>
      </c>
      <c r="B305" t="s">
        <v>208</v>
      </c>
      <c r="C305" t="s">
        <v>209</v>
      </c>
      <c r="D305" t="b">
        <v>1</v>
      </c>
    </row>
    <row r="306" spans="1:4">
      <c r="A306" t="s">
        <v>243</v>
      </c>
      <c r="B306" t="s">
        <v>208</v>
      </c>
      <c r="C306" t="s">
        <v>209</v>
      </c>
      <c r="D306" t="b">
        <v>1</v>
      </c>
    </row>
    <row r="307" spans="1:4">
      <c r="A307" t="s">
        <v>243</v>
      </c>
      <c r="B307" t="s">
        <v>214</v>
      </c>
      <c r="C307" t="s">
        <v>211</v>
      </c>
      <c r="D307" t="b">
        <v>0</v>
      </c>
    </row>
    <row r="308" spans="1:4">
      <c r="A308" t="s">
        <v>105</v>
      </c>
      <c r="B308" t="s">
        <v>208</v>
      </c>
      <c r="C308" t="s">
        <v>209</v>
      </c>
      <c r="D308" t="b">
        <v>1</v>
      </c>
    </row>
    <row r="309" spans="1:4">
      <c r="A309" t="s">
        <v>52</v>
      </c>
      <c r="B309" t="s">
        <v>214</v>
      </c>
      <c r="C309" t="s">
        <v>211</v>
      </c>
      <c r="D309" t="b">
        <v>0</v>
      </c>
    </row>
    <row r="310" spans="1:4">
      <c r="A310" t="s">
        <v>52</v>
      </c>
      <c r="B310" t="s">
        <v>228</v>
      </c>
      <c r="C310" t="s">
        <v>211</v>
      </c>
      <c r="D310" t="b">
        <v>0</v>
      </c>
    </row>
    <row r="311" spans="1:4">
      <c r="A311" t="s">
        <v>52</v>
      </c>
      <c r="B311" t="s">
        <v>208</v>
      </c>
      <c r="C311" t="s">
        <v>209</v>
      </c>
      <c r="D311" t="b">
        <v>1</v>
      </c>
    </row>
    <row r="312" spans="1:4">
      <c r="A312" t="s">
        <v>106</v>
      </c>
      <c r="B312" t="s">
        <v>210</v>
      </c>
      <c r="C312" t="s">
        <v>211</v>
      </c>
      <c r="D312" t="b">
        <v>0</v>
      </c>
    </row>
    <row r="313" spans="1:4">
      <c r="A313" t="s">
        <v>106</v>
      </c>
      <c r="B313" t="s">
        <v>213</v>
      </c>
      <c r="C313" t="s">
        <v>209</v>
      </c>
      <c r="D313" t="b">
        <v>0</v>
      </c>
    </row>
    <row r="314" spans="1:4">
      <c r="A314" t="s">
        <v>106</v>
      </c>
      <c r="B314" t="s">
        <v>212</v>
      </c>
      <c r="C314" t="s">
        <v>209</v>
      </c>
      <c r="D314" t="b">
        <v>1</v>
      </c>
    </row>
    <row r="315" spans="1:4">
      <c r="A315" t="s">
        <v>199</v>
      </c>
      <c r="B315" t="s">
        <v>214</v>
      </c>
      <c r="C315" t="s">
        <v>211</v>
      </c>
      <c r="D315" t="b">
        <v>1</v>
      </c>
    </row>
    <row r="316" spans="1:4">
      <c r="A316" t="s">
        <v>199</v>
      </c>
      <c r="B316" t="s">
        <v>208</v>
      </c>
      <c r="C316" t="s">
        <v>209</v>
      </c>
      <c r="D316" t="b">
        <v>1</v>
      </c>
    </row>
    <row r="317" spans="1:4">
      <c r="A317" t="s">
        <v>160</v>
      </c>
      <c r="B317" t="s">
        <v>210</v>
      </c>
      <c r="C317" t="s">
        <v>211</v>
      </c>
      <c r="D317" t="b">
        <v>1</v>
      </c>
    </row>
    <row r="318" spans="1:4">
      <c r="A318" t="s">
        <v>113</v>
      </c>
      <c r="B318" t="s">
        <v>210</v>
      </c>
      <c r="C318" t="s">
        <v>211</v>
      </c>
      <c r="D318" t="b">
        <v>0</v>
      </c>
    </row>
    <row r="319" spans="1:4">
      <c r="A319" t="s">
        <v>113</v>
      </c>
      <c r="B319" t="s">
        <v>208</v>
      </c>
      <c r="C319" t="s">
        <v>209</v>
      </c>
      <c r="D319" t="b">
        <v>0</v>
      </c>
    </row>
    <row r="320" spans="1:4">
      <c r="A320" t="s">
        <v>118</v>
      </c>
      <c r="B320" t="s">
        <v>210</v>
      </c>
      <c r="C320" t="s">
        <v>211</v>
      </c>
      <c r="D320" t="b">
        <v>0</v>
      </c>
    </row>
    <row r="321" spans="1:4">
      <c r="A321" t="s">
        <v>118</v>
      </c>
      <c r="B321" t="s">
        <v>208</v>
      </c>
      <c r="C321" t="s">
        <v>209</v>
      </c>
      <c r="D321" t="b">
        <v>0</v>
      </c>
    </row>
    <row r="322" spans="1:4">
      <c r="A322" t="s">
        <v>200</v>
      </c>
      <c r="B322" t="s">
        <v>208</v>
      </c>
      <c r="C322" t="s">
        <v>209</v>
      </c>
      <c r="D322" t="b">
        <v>1</v>
      </c>
    </row>
    <row r="323" spans="1:4">
      <c r="A323" t="s">
        <v>200</v>
      </c>
      <c r="B323" t="s">
        <v>214</v>
      </c>
      <c r="C323" t="s">
        <v>211</v>
      </c>
      <c r="D323" t="b">
        <v>0</v>
      </c>
    </row>
    <row r="324" spans="1:4">
      <c r="A324" t="s">
        <v>200</v>
      </c>
      <c r="B324" t="s">
        <v>210</v>
      </c>
      <c r="C324" t="s">
        <v>211</v>
      </c>
      <c r="D324" t="b">
        <v>0</v>
      </c>
    </row>
    <row r="325" spans="1:4">
      <c r="A325" t="s">
        <v>39</v>
      </c>
      <c r="B325" t="s">
        <v>214</v>
      </c>
      <c r="C325" t="s">
        <v>211</v>
      </c>
      <c r="D325" t="b">
        <v>0</v>
      </c>
    </row>
    <row r="326" spans="1:4">
      <c r="A326" t="s">
        <v>39</v>
      </c>
      <c r="B326" t="s">
        <v>228</v>
      </c>
      <c r="C326" t="s">
        <v>211</v>
      </c>
      <c r="D326" t="b">
        <v>0</v>
      </c>
    </row>
    <row r="327" spans="1:4">
      <c r="A327" t="s">
        <v>39</v>
      </c>
      <c r="B327" t="s">
        <v>212</v>
      </c>
      <c r="C327" t="s">
        <v>209</v>
      </c>
      <c r="D327" t="b">
        <v>1</v>
      </c>
    </row>
    <row r="328" spans="1:4">
      <c r="A328" t="s">
        <v>39</v>
      </c>
      <c r="B328" t="s">
        <v>213</v>
      </c>
      <c r="C328" t="s">
        <v>209</v>
      </c>
      <c r="D328" t="b">
        <v>0</v>
      </c>
    </row>
    <row r="329" spans="1:4">
      <c r="A329" t="s">
        <v>187</v>
      </c>
      <c r="B329" t="s">
        <v>208</v>
      </c>
      <c r="C329" t="s">
        <v>209</v>
      </c>
      <c r="D329" t="b">
        <v>1</v>
      </c>
    </row>
    <row r="330" spans="1:4">
      <c r="A330" t="s">
        <v>108</v>
      </c>
      <c r="B330" t="s">
        <v>210</v>
      </c>
      <c r="C330" t="s">
        <v>211</v>
      </c>
      <c r="D330" t="b">
        <v>0</v>
      </c>
    </row>
    <row r="331" spans="1:4">
      <c r="A331" t="s">
        <v>109</v>
      </c>
      <c r="B331" t="s">
        <v>210</v>
      </c>
      <c r="C331" t="s">
        <v>211</v>
      </c>
      <c r="D331" t="b">
        <v>0</v>
      </c>
    </row>
    <row r="332" spans="1:4">
      <c r="A332" t="s">
        <v>109</v>
      </c>
      <c r="B332" t="s">
        <v>208</v>
      </c>
      <c r="C332" t="s">
        <v>209</v>
      </c>
      <c r="D332" t="b">
        <v>0</v>
      </c>
    </row>
    <row r="333" spans="1:4">
      <c r="A333" t="s">
        <v>202</v>
      </c>
      <c r="B333" t="s">
        <v>214</v>
      </c>
      <c r="C333" t="s">
        <v>211</v>
      </c>
      <c r="D333" t="b">
        <v>1</v>
      </c>
    </row>
    <row r="334" spans="1:4">
      <c r="A334" t="s">
        <v>121</v>
      </c>
      <c r="B334" t="s">
        <v>210</v>
      </c>
      <c r="C334" t="s">
        <v>211</v>
      </c>
      <c r="D334" t="b">
        <v>1</v>
      </c>
    </row>
    <row r="335" spans="1:4">
      <c r="A335" t="s">
        <v>121</v>
      </c>
      <c r="B335" t="s">
        <v>208</v>
      </c>
      <c r="C335" t="s">
        <v>209</v>
      </c>
      <c r="D335" t="b">
        <v>1</v>
      </c>
    </row>
    <row r="336" spans="1:4">
      <c r="A336" t="s">
        <v>122</v>
      </c>
      <c r="B336" t="s">
        <v>210</v>
      </c>
      <c r="C336" t="s">
        <v>211</v>
      </c>
      <c r="D336" t="b">
        <v>0</v>
      </c>
    </row>
    <row r="337" spans="1:4">
      <c r="A337" t="s">
        <v>122</v>
      </c>
      <c r="B337" t="s">
        <v>208</v>
      </c>
      <c r="C337" t="s">
        <v>209</v>
      </c>
      <c r="D337" t="b">
        <v>1</v>
      </c>
    </row>
    <row r="338" spans="1:4">
      <c r="A338" t="s">
        <v>70</v>
      </c>
      <c r="B338" t="s">
        <v>214</v>
      </c>
      <c r="C338" t="s">
        <v>211</v>
      </c>
      <c r="D338" t="b">
        <v>0</v>
      </c>
    </row>
    <row r="339" spans="1:4">
      <c r="A339" t="s">
        <v>70</v>
      </c>
      <c r="B339" t="s">
        <v>210</v>
      </c>
      <c r="C339" t="s">
        <v>211</v>
      </c>
      <c r="D339" t="b">
        <v>1</v>
      </c>
    </row>
    <row r="340" spans="1:4">
      <c r="A340" t="s">
        <v>70</v>
      </c>
      <c r="B340" t="s">
        <v>228</v>
      </c>
      <c r="C340" t="s">
        <v>211</v>
      </c>
      <c r="D340" t="b">
        <v>0</v>
      </c>
    </row>
    <row r="341" spans="1:4">
      <c r="A341" t="s">
        <v>70</v>
      </c>
      <c r="B341" t="s">
        <v>215</v>
      </c>
      <c r="C341" t="s">
        <v>211</v>
      </c>
      <c r="D341" t="b">
        <v>1</v>
      </c>
    </row>
    <row r="342" spans="1:4">
      <c r="A342" t="s">
        <v>161</v>
      </c>
      <c r="B342" t="s">
        <v>210</v>
      </c>
      <c r="C342" t="s">
        <v>211</v>
      </c>
      <c r="D342" t="b">
        <v>1</v>
      </c>
    </row>
    <row r="343" spans="1:4">
      <c r="A343" t="s">
        <v>114</v>
      </c>
      <c r="B343" t="s">
        <v>210</v>
      </c>
      <c r="C343" t="s">
        <v>211</v>
      </c>
      <c r="D343" t="b">
        <v>0</v>
      </c>
    </row>
    <row r="344" spans="1:4">
      <c r="A344" t="s">
        <v>114</v>
      </c>
      <c r="B344" t="s">
        <v>208</v>
      </c>
      <c r="C344" t="s">
        <v>209</v>
      </c>
      <c r="D344" t="b">
        <v>0</v>
      </c>
    </row>
    <row r="345" spans="1:4">
      <c r="A345" t="s">
        <v>119</v>
      </c>
      <c r="B345" t="s">
        <v>210</v>
      </c>
      <c r="C345" t="s">
        <v>211</v>
      </c>
      <c r="D345" t="b">
        <v>0</v>
      </c>
    </row>
    <row r="346" spans="1:4">
      <c r="A346" t="s">
        <v>119</v>
      </c>
      <c r="B346" t="s">
        <v>208</v>
      </c>
      <c r="C346" t="s">
        <v>209</v>
      </c>
      <c r="D346" t="b">
        <v>0</v>
      </c>
    </row>
    <row r="347" spans="1:4">
      <c r="A347" t="s">
        <v>158</v>
      </c>
      <c r="B347" t="s">
        <v>208</v>
      </c>
      <c r="C347" t="s">
        <v>209</v>
      </c>
      <c r="D347" t="b">
        <v>0</v>
      </c>
    </row>
    <row r="348" spans="1:4">
      <c r="A348" t="s">
        <v>158</v>
      </c>
      <c r="B348" t="s">
        <v>210</v>
      </c>
      <c r="C348" t="s">
        <v>211</v>
      </c>
      <c r="D348" t="b">
        <v>1</v>
      </c>
    </row>
    <row r="349" spans="1:4">
      <c r="A349" t="s">
        <v>40</v>
      </c>
      <c r="B349" t="s">
        <v>210</v>
      </c>
      <c r="C349" t="s">
        <v>211</v>
      </c>
      <c r="D349" t="b">
        <v>1</v>
      </c>
    </row>
    <row r="350" spans="1:4">
      <c r="A350" t="s">
        <v>40</v>
      </c>
      <c r="B350" t="s">
        <v>228</v>
      </c>
      <c r="C350" t="s">
        <v>211</v>
      </c>
      <c r="D350" t="b">
        <v>0</v>
      </c>
    </row>
    <row r="351" spans="1:4">
      <c r="A351" t="s">
        <v>172</v>
      </c>
      <c r="B351" t="s">
        <v>210</v>
      </c>
      <c r="C351" t="s">
        <v>211</v>
      </c>
      <c r="D351" t="b">
        <v>1</v>
      </c>
    </row>
    <row r="352" spans="1:4">
      <c r="A352" t="s">
        <v>159</v>
      </c>
      <c r="B352" t="s">
        <v>208</v>
      </c>
      <c r="C352" t="s">
        <v>209</v>
      </c>
      <c r="D352" t="b">
        <v>0</v>
      </c>
    </row>
    <row r="353" spans="1:4">
      <c r="A353" t="s">
        <v>159</v>
      </c>
      <c r="B353" t="s">
        <v>210</v>
      </c>
      <c r="C353" t="s">
        <v>211</v>
      </c>
      <c r="D353" t="b">
        <v>1</v>
      </c>
    </row>
    <row r="354" spans="1:4">
      <c r="A354" t="s">
        <v>123</v>
      </c>
      <c r="B354" t="s">
        <v>214</v>
      </c>
      <c r="C354" t="s">
        <v>211</v>
      </c>
      <c r="D354" t="b">
        <v>0</v>
      </c>
    </row>
    <row r="355" spans="1:4">
      <c r="A355" t="s">
        <v>123</v>
      </c>
      <c r="B355" t="s">
        <v>228</v>
      </c>
      <c r="C355" t="s">
        <v>211</v>
      </c>
      <c r="D355" t="b">
        <v>1</v>
      </c>
    </row>
    <row r="356" spans="1:4">
      <c r="A356" t="s">
        <v>124</v>
      </c>
      <c r="B356" t="s">
        <v>214</v>
      </c>
      <c r="C356" t="s">
        <v>211</v>
      </c>
      <c r="D356" t="b">
        <v>1</v>
      </c>
    </row>
    <row r="357" spans="1:4">
      <c r="A357" t="s">
        <v>124</v>
      </c>
      <c r="B357" t="s">
        <v>228</v>
      </c>
      <c r="C357" t="s">
        <v>211</v>
      </c>
      <c r="D357" t="b">
        <v>0</v>
      </c>
    </row>
    <row r="358" spans="1:4">
      <c r="A358" t="s">
        <v>125</v>
      </c>
      <c r="B358" t="s">
        <v>208</v>
      </c>
      <c r="C358" t="s">
        <v>209</v>
      </c>
      <c r="D358" t="b">
        <v>0</v>
      </c>
    </row>
    <row r="359" spans="1:4">
      <c r="A359" t="s">
        <v>125</v>
      </c>
      <c r="B359" t="s">
        <v>212</v>
      </c>
      <c r="C359" t="s">
        <v>209</v>
      </c>
      <c r="D359" t="b">
        <v>1</v>
      </c>
    </row>
    <row r="360" spans="1:4">
      <c r="A360" t="s">
        <v>125</v>
      </c>
      <c r="B360" t="s">
        <v>213</v>
      </c>
      <c r="C360" t="s">
        <v>209</v>
      </c>
      <c r="D360" t="b">
        <v>0</v>
      </c>
    </row>
    <row r="361" spans="1:4">
      <c r="A361" t="s">
        <v>244</v>
      </c>
      <c r="B361" t="s">
        <v>210</v>
      </c>
      <c r="C361" t="s">
        <v>211</v>
      </c>
      <c r="D3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IS preparation</vt:lpstr>
      <vt:lpstr>2. Lookup table</vt:lpstr>
      <vt:lpstr>3. Quant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2023-07-10T14:23:30Z</dcterms:created>
  <dcterms:modified xsi:type="dcterms:W3CDTF">2026-10-14T10:38:36Z</dcterms:modified>
</cp:coreProperties>
</file>